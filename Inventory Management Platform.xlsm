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20490" windowHeight="8055" activeTab="1"/>
  </bookViews>
  <sheets>
    <sheet name="Report" sheetId="4" r:id="rId1"/>
    <sheet name="Stock-In-Out" sheetId="2" r:id="rId2"/>
    <sheet name="Inventory" sheetId="3" r:id="rId3"/>
    <sheet name="Product Master" sheetId="1" r:id="rId4"/>
    <sheet name="Support" sheetId="5" r:id="rId5"/>
  </sheets>
  <definedNames>
    <definedName name="_xlnm._FilterDatabase" localSheetId="2" hidden="1">Inventory!$A$1:$J$43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F3" i="2"/>
  <c r="G3" i="2"/>
  <c r="H3" i="2" s="1"/>
  <c r="E4" i="2"/>
  <c r="F4" i="2"/>
  <c r="G4" i="2"/>
  <c r="H4" i="2" s="1"/>
  <c r="E5" i="2"/>
  <c r="F5" i="2"/>
  <c r="G5" i="2"/>
  <c r="H5" i="2" s="1"/>
  <c r="E6" i="2"/>
  <c r="F6" i="2"/>
  <c r="G6" i="2"/>
  <c r="H6" i="2" s="1"/>
  <c r="E7" i="2"/>
  <c r="F7" i="2"/>
  <c r="G7" i="2"/>
  <c r="H7" i="2" s="1"/>
  <c r="E8" i="2"/>
  <c r="F8" i="2"/>
  <c r="G8" i="2"/>
  <c r="H8" i="2" s="1"/>
  <c r="E9" i="2"/>
  <c r="F9" i="2"/>
  <c r="G9" i="2"/>
  <c r="H9" i="2" s="1"/>
  <c r="E10" i="2"/>
  <c r="F10" i="2"/>
  <c r="G10" i="2"/>
  <c r="H10" i="2" s="1"/>
  <c r="E11" i="2"/>
  <c r="F11" i="2"/>
  <c r="G11" i="2"/>
  <c r="H11" i="2" s="1"/>
  <c r="E12" i="2"/>
  <c r="F12" i="2"/>
  <c r="G12" i="2"/>
  <c r="H12" i="2" s="1"/>
  <c r="E13" i="2"/>
  <c r="F13" i="2"/>
  <c r="G13" i="2"/>
  <c r="H13" i="2" s="1"/>
  <c r="E14" i="2"/>
  <c r="F14" i="2"/>
  <c r="G14" i="2"/>
  <c r="H14" i="2" s="1"/>
  <c r="E15" i="2"/>
  <c r="F15" i="2"/>
  <c r="G15" i="2"/>
  <c r="H15" i="2" s="1"/>
  <c r="E16" i="2"/>
  <c r="F16" i="2"/>
  <c r="G16" i="2"/>
  <c r="H16" i="2" s="1"/>
  <c r="E17" i="2"/>
  <c r="F17" i="2" s="1"/>
  <c r="G17" i="2"/>
  <c r="H17" i="2" s="1"/>
  <c r="E18" i="2"/>
  <c r="F18" i="2"/>
  <c r="G18" i="2"/>
  <c r="H18" i="2" s="1"/>
  <c r="E19" i="2"/>
  <c r="F19" i="2" s="1"/>
  <c r="G19" i="2"/>
  <c r="H19" i="2" s="1"/>
  <c r="E20" i="2"/>
  <c r="F20" i="2"/>
  <c r="G20" i="2"/>
  <c r="H20" i="2" s="1"/>
  <c r="E21" i="2"/>
  <c r="F21" i="2" s="1"/>
  <c r="G21" i="2"/>
  <c r="H21" i="2" s="1"/>
  <c r="E22" i="2"/>
  <c r="F22" i="2"/>
  <c r="G22" i="2"/>
  <c r="H22" i="2" s="1"/>
  <c r="E23" i="2"/>
  <c r="F23" i="2" s="1"/>
  <c r="G23" i="2"/>
  <c r="H23" i="2" s="1"/>
  <c r="E24" i="2"/>
  <c r="F24" i="2"/>
  <c r="G24" i="2"/>
  <c r="H24" i="2" s="1"/>
  <c r="E25" i="2"/>
  <c r="F25" i="2" s="1"/>
  <c r="G25" i="2"/>
  <c r="H25" i="2" s="1"/>
  <c r="E26" i="2"/>
  <c r="F26" i="2"/>
  <c r="G26" i="2"/>
  <c r="H26" i="2" s="1"/>
  <c r="E27" i="2"/>
  <c r="F27" i="2" s="1"/>
  <c r="G27" i="2"/>
  <c r="H27" i="2" s="1"/>
  <c r="E28" i="2"/>
  <c r="F28" i="2"/>
  <c r="G28" i="2"/>
  <c r="H28" i="2" s="1"/>
  <c r="E29" i="2"/>
  <c r="F29" i="2" s="1"/>
  <c r="G29" i="2"/>
  <c r="H29" i="2" s="1"/>
  <c r="E30" i="2"/>
  <c r="F30" i="2"/>
  <c r="G30" i="2"/>
  <c r="H30" i="2" s="1"/>
  <c r="E31" i="2"/>
  <c r="F31" i="2" s="1"/>
  <c r="G31" i="2"/>
  <c r="H31" i="2" s="1"/>
  <c r="E32" i="2"/>
  <c r="F32" i="2"/>
  <c r="G32" i="2"/>
  <c r="H32" i="2" s="1"/>
  <c r="E33" i="2"/>
  <c r="F33" i="2" s="1"/>
  <c r="G33" i="2"/>
  <c r="H33" i="2" s="1"/>
  <c r="E34" i="2"/>
  <c r="F34" i="2"/>
  <c r="G34" i="2"/>
  <c r="H34" i="2" s="1"/>
  <c r="E35" i="2"/>
  <c r="F35" i="2" s="1"/>
  <c r="G35" i="2"/>
  <c r="H35" i="2" s="1"/>
  <c r="E36" i="2"/>
  <c r="F36" i="2"/>
  <c r="G36" i="2"/>
  <c r="H36" i="2" s="1"/>
  <c r="E37" i="2"/>
  <c r="F37" i="2" s="1"/>
  <c r="G37" i="2"/>
  <c r="H37" i="2" s="1"/>
  <c r="E38" i="2"/>
  <c r="F38" i="2"/>
  <c r="G38" i="2"/>
  <c r="H38" i="2" s="1"/>
  <c r="E39" i="2"/>
  <c r="F39" i="2" s="1"/>
  <c r="G39" i="2"/>
  <c r="H39" i="2" s="1"/>
  <c r="E40" i="2"/>
  <c r="F40" i="2"/>
  <c r="G40" i="2"/>
  <c r="H40" i="2" s="1"/>
  <c r="E41" i="2"/>
  <c r="F41" i="2" s="1"/>
  <c r="G41" i="2"/>
  <c r="H41" i="2" s="1"/>
  <c r="E42" i="2"/>
  <c r="F42" i="2"/>
  <c r="G42" i="2"/>
  <c r="H42" i="2" s="1"/>
  <c r="E43" i="2"/>
  <c r="F43" i="2" s="1"/>
  <c r="G43" i="2"/>
  <c r="H43" i="2" s="1"/>
  <c r="E44" i="2"/>
  <c r="F44" i="2"/>
  <c r="G44" i="2"/>
  <c r="H44" i="2" s="1"/>
  <c r="E45" i="2"/>
  <c r="F45" i="2" s="1"/>
  <c r="G45" i="2"/>
  <c r="H45" i="2" s="1"/>
  <c r="E46" i="2"/>
  <c r="F46" i="2"/>
  <c r="G46" i="2"/>
  <c r="H46" i="2" s="1"/>
  <c r="E47" i="2"/>
  <c r="F47" i="2" s="1"/>
  <c r="G47" i="2"/>
  <c r="H47" i="2" s="1"/>
  <c r="E48" i="2"/>
  <c r="F48" i="2"/>
  <c r="G48" i="2"/>
  <c r="H48" i="2" s="1"/>
  <c r="E49" i="2"/>
  <c r="F49" i="2" s="1"/>
  <c r="G49" i="2"/>
  <c r="H49" i="2" s="1"/>
  <c r="E50" i="2"/>
  <c r="F50" i="2"/>
  <c r="G50" i="2"/>
  <c r="H50" i="2" s="1"/>
  <c r="E51" i="2"/>
  <c r="F51" i="2" s="1"/>
  <c r="G51" i="2"/>
  <c r="H51" i="2" s="1"/>
  <c r="J3" i="3" l="1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E20" i="3" s="1"/>
  <c r="B21" i="3"/>
  <c r="B22" i="3"/>
  <c r="B23" i="3"/>
  <c r="B24" i="3"/>
  <c r="B25" i="3"/>
  <c r="B26" i="3"/>
  <c r="B27" i="3"/>
  <c r="B28" i="3"/>
  <c r="E28" i="3" s="1"/>
  <c r="B29" i="3"/>
  <c r="B30" i="3"/>
  <c r="B31" i="3"/>
  <c r="B32" i="3"/>
  <c r="B33" i="3"/>
  <c r="B34" i="3"/>
  <c r="B35" i="3"/>
  <c r="B36" i="3"/>
  <c r="E36" i="3" s="1"/>
  <c r="B37" i="3"/>
  <c r="B38" i="3"/>
  <c r="B39" i="3"/>
  <c r="B40" i="3"/>
  <c r="B41" i="3"/>
  <c r="B42" i="3"/>
  <c r="B43" i="3"/>
  <c r="J2" i="3"/>
  <c r="H2" i="3"/>
  <c r="D2" i="3"/>
  <c r="C2" i="3"/>
  <c r="B2" i="3"/>
  <c r="H2" i="2"/>
  <c r="G2" i="2"/>
  <c r="F2" i="2"/>
  <c r="E2" i="2"/>
  <c r="E12" i="3" l="1"/>
  <c r="F12" i="3" s="1"/>
  <c r="E4" i="3"/>
  <c r="G4" i="3" s="1"/>
  <c r="E41" i="3"/>
  <c r="F41" i="3" s="1"/>
  <c r="E33" i="3"/>
  <c r="F33" i="3" s="1"/>
  <c r="E25" i="3"/>
  <c r="F25" i="3" s="1"/>
  <c r="E17" i="3"/>
  <c r="I17" i="3" s="1"/>
  <c r="E9" i="3"/>
  <c r="F9" i="3" s="1"/>
  <c r="E38" i="3"/>
  <c r="I38" i="3" s="1"/>
  <c r="E30" i="3"/>
  <c r="I30" i="3" s="1"/>
  <c r="E22" i="3"/>
  <c r="I22" i="3" s="1"/>
  <c r="E14" i="3"/>
  <c r="G14" i="3" s="1"/>
  <c r="E6" i="3"/>
  <c r="G6" i="3" s="1"/>
  <c r="E37" i="3"/>
  <c r="I37" i="3" s="1"/>
  <c r="E29" i="3"/>
  <c r="F29" i="3" s="1"/>
  <c r="E21" i="3"/>
  <c r="I21" i="3" s="1"/>
  <c r="E13" i="3"/>
  <c r="I13" i="3" s="1"/>
  <c r="E5" i="3"/>
  <c r="F5" i="3" s="1"/>
  <c r="E40" i="3"/>
  <c r="G40" i="3" s="1"/>
  <c r="E32" i="3"/>
  <c r="G32" i="3" s="1"/>
  <c r="E24" i="3"/>
  <c r="G24" i="3" s="1"/>
  <c r="E16" i="3"/>
  <c r="G16" i="3" s="1"/>
  <c r="E8" i="3"/>
  <c r="G8" i="3" s="1"/>
  <c r="E2" i="3"/>
  <c r="I2" i="3" s="1"/>
  <c r="E39" i="3"/>
  <c r="I39" i="3" s="1"/>
  <c r="E31" i="3"/>
  <c r="I31" i="3" s="1"/>
  <c r="E23" i="3"/>
  <c r="I23" i="3" s="1"/>
  <c r="E15" i="3"/>
  <c r="G15" i="3" s="1"/>
  <c r="E7" i="3"/>
  <c r="G7" i="3" s="1"/>
  <c r="E43" i="3"/>
  <c r="G43" i="3" s="1"/>
  <c r="E35" i="3"/>
  <c r="I35" i="3" s="1"/>
  <c r="E27" i="3"/>
  <c r="G27" i="3" s="1"/>
  <c r="E19" i="3"/>
  <c r="I19" i="3" s="1"/>
  <c r="E11" i="3"/>
  <c r="I11" i="3" s="1"/>
  <c r="E3" i="3"/>
  <c r="I3" i="3" s="1"/>
  <c r="E42" i="3"/>
  <c r="F42" i="3" s="1"/>
  <c r="E34" i="3"/>
  <c r="F34" i="3" s="1"/>
  <c r="E26" i="3"/>
  <c r="G26" i="3" s="1"/>
  <c r="E18" i="3"/>
  <c r="F18" i="3" s="1"/>
  <c r="E10" i="3"/>
  <c r="I10" i="3" s="1"/>
  <c r="G36" i="3"/>
  <c r="F36" i="3"/>
  <c r="I36" i="3"/>
  <c r="G28" i="3"/>
  <c r="F28" i="3"/>
  <c r="I28" i="3"/>
  <c r="G20" i="3"/>
  <c r="F20" i="3"/>
  <c r="I20" i="3"/>
  <c r="G12" i="3"/>
  <c r="F4" i="3"/>
  <c r="I12" i="3" l="1"/>
  <c r="I4" i="3"/>
  <c r="F30" i="3"/>
  <c r="I33" i="3"/>
  <c r="G41" i="3"/>
  <c r="G33" i="3"/>
  <c r="G5" i="3"/>
  <c r="I5" i="3"/>
  <c r="F22" i="3"/>
  <c r="I41" i="3"/>
  <c r="G22" i="3"/>
  <c r="I40" i="3"/>
  <c r="I25" i="3"/>
  <c r="F40" i="3"/>
  <c r="F23" i="3"/>
  <c r="G23" i="3"/>
  <c r="G25" i="3"/>
  <c r="I18" i="3"/>
  <c r="I26" i="3"/>
  <c r="F7" i="3"/>
  <c r="F24" i="3"/>
  <c r="I6" i="3"/>
  <c r="I24" i="3"/>
  <c r="F35" i="3"/>
  <c r="G35" i="3"/>
  <c r="F13" i="3"/>
  <c r="F26" i="3"/>
  <c r="G38" i="3"/>
  <c r="G18" i="3"/>
  <c r="G13" i="3"/>
  <c r="F39" i="3"/>
  <c r="G17" i="3"/>
  <c r="F17" i="3"/>
  <c r="G29" i="3"/>
  <c r="F38" i="3"/>
  <c r="F43" i="3"/>
  <c r="I43" i="3"/>
  <c r="I32" i="3"/>
  <c r="F19" i="3"/>
  <c r="F14" i="3"/>
  <c r="F32" i="3"/>
  <c r="I14" i="3"/>
  <c r="I29" i="3"/>
  <c r="I15" i="3"/>
  <c r="G39" i="3"/>
  <c r="G42" i="3"/>
  <c r="I42" i="3"/>
  <c r="F2" i="3"/>
  <c r="I7" i="3"/>
  <c r="G9" i="3"/>
  <c r="I9" i="3"/>
  <c r="G21" i="3"/>
  <c r="F6" i="3"/>
  <c r="F15" i="3"/>
  <c r="F8" i="3"/>
  <c r="I8" i="3"/>
  <c r="G11" i="3"/>
  <c r="F37" i="3"/>
  <c r="G19" i="3"/>
  <c r="G2" i="3"/>
  <c r="F3" i="3"/>
  <c r="G3" i="3"/>
  <c r="G37" i="3"/>
  <c r="G30" i="3"/>
  <c r="F16" i="3"/>
  <c r="F21" i="3"/>
  <c r="F11" i="3"/>
  <c r="I16" i="3"/>
  <c r="F31" i="3"/>
  <c r="G31" i="3"/>
  <c r="G34" i="3"/>
  <c r="I34" i="3"/>
  <c r="G10" i="3"/>
  <c r="B1" i="5"/>
  <c r="F10" i="3"/>
  <c r="B5" i="5"/>
  <c r="F27" i="3"/>
  <c r="I27" i="3"/>
  <c r="B4" i="5" l="1"/>
  <c r="B3" i="5"/>
  <c r="B2" i="5"/>
</calcChain>
</file>

<file path=xl/sharedStrings.xml><?xml version="1.0" encoding="utf-8"?>
<sst xmlns="http://schemas.openxmlformats.org/spreadsheetml/2006/main" count="307" uniqueCount="68">
  <si>
    <t>Product Name</t>
  </si>
  <si>
    <t>Cost Per Unit</t>
  </si>
  <si>
    <t>Price Per Unit</t>
  </si>
  <si>
    <t>Drawer Number</t>
  </si>
  <si>
    <t>Re-Order Level</t>
  </si>
  <si>
    <t>Performance Battery</t>
  </si>
  <si>
    <t>Battery Box</t>
  </si>
  <si>
    <t>Battery Cable terminal</t>
  </si>
  <si>
    <t>Battery Cable</t>
  </si>
  <si>
    <t>Battery Control system</t>
  </si>
  <si>
    <t>Battery Plate</t>
  </si>
  <si>
    <t>Battery tray</t>
  </si>
  <si>
    <t>Battery Cap</t>
  </si>
  <si>
    <t>Anti-intrusion bar</t>
  </si>
  <si>
    <t>Outer door handle</t>
  </si>
  <si>
    <t>Inner door handle</t>
  </si>
  <si>
    <t>Window motor</t>
  </si>
  <si>
    <t>Door control module</t>
  </si>
  <si>
    <t>Door seal</t>
  </si>
  <si>
    <t>Cowl screen</t>
  </si>
  <si>
    <t>Decklid</t>
  </si>
  <si>
    <t>Fascia rear and support</t>
  </si>
  <si>
    <t>Fender (wing or mudguard)</t>
  </si>
  <si>
    <t>Front clip</t>
  </si>
  <si>
    <t>Front fascia and header panel</t>
  </si>
  <si>
    <t>Grille (also called grill)</t>
  </si>
  <si>
    <t>Pillar and hard trim</t>
  </si>
  <si>
    <t>Quarter panel</t>
  </si>
  <si>
    <t>Sparking cable</t>
  </si>
  <si>
    <t>Distributor</t>
  </si>
  <si>
    <t>Distributor Cap</t>
  </si>
  <si>
    <t>Electronic timing controller</t>
  </si>
  <si>
    <t>Ignition box</t>
  </si>
  <si>
    <t>Ignition coil</t>
  </si>
  <si>
    <t>Airbag sensors</t>
  </si>
  <si>
    <t>Automatic transmission speed sensor</t>
  </si>
  <si>
    <t>Camshaft position sensor</t>
  </si>
  <si>
    <t>Crankshaft position sensor</t>
  </si>
  <si>
    <t>Coolant temperature sensor</t>
  </si>
  <si>
    <t>Fuel level sensor</t>
  </si>
  <si>
    <t>Fuel pressure sensor</t>
  </si>
  <si>
    <t>Knock sensor</t>
  </si>
  <si>
    <t>Performance chip</t>
  </si>
  <si>
    <t>Performance monitor</t>
  </si>
  <si>
    <t>Relay connector</t>
  </si>
  <si>
    <t>Remote lock</t>
  </si>
  <si>
    <t>Shift improver</t>
  </si>
  <si>
    <t>In/Out</t>
  </si>
  <si>
    <t>Date</t>
  </si>
  <si>
    <t>Qty</t>
  </si>
  <si>
    <t>Price per Unit</t>
  </si>
  <si>
    <t>Total Value</t>
  </si>
  <si>
    <t>Total Cost Value</t>
  </si>
  <si>
    <t>Opening Stock</t>
  </si>
  <si>
    <t>In</t>
  </si>
  <si>
    <t>Out</t>
  </si>
  <si>
    <t>Closing Stock</t>
  </si>
  <si>
    <t>Stock Value</t>
  </si>
  <si>
    <t>Stock Cost</t>
  </si>
  <si>
    <t>Re-order Level</t>
  </si>
  <si>
    <t>Re-Order Required</t>
  </si>
  <si>
    <t>Current Stock</t>
  </si>
  <si>
    <t>Re-Order</t>
  </si>
  <si>
    <t>Out of Stock</t>
  </si>
  <si>
    <t>INVENTORY MANAGEMENT PLATFORM</t>
  </si>
  <si>
    <t>IN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</si>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</sst>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2" fontId="4" fillId="0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5" fontId="0" fillId="0" borderId="0" xfId="0" applyNumberFormat="1"/>
    <xf numFmtId="43" fontId="0" fillId="0" borderId="0" xfId="1" applyFont="1"/>
    <xf numFmtId="0" fontId="5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2" fillId="0" borderId="0" xfId="0" applyFont="1"/>
    <xf numFmtId="44" fontId="0" fillId="0" borderId="0" xfId="2" applyNumberFormat="1" applyFont="1"/>
    <xf numFmtId="0" fontId="6" fillId="0" borderId="0" xfId="0" applyFont="1" applyFill="1" applyAlignment="1">
      <alignment vertical="center"/>
    </xf>
    <xf numFmtId="0" fontId="6" fillId="5" borderId="0" xfId="0" applyFont="1" applyFill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247650</xdr:colOff>
      <xdr:row>2</xdr:row>
      <xdr:rowOff>85724</xdr:rowOff>
    </xdr:from>
    <xdr:to>
      <xdr:col>0</xdr:col>
      <xdr:colOff>2076450</xdr:colOff>
      <xdr:row>5</xdr:row>
      <xdr:rowOff>190499</xdr:rowOff>
    </xdr:to>
    <xdr:grpSp>
      <xdr:nvGrpSpPr>
        <xdr:cNvPr id="24" name="Group 23"/>
        <xdr:cNvGrpSpPr/>
      </xdr:nvGrpSpPr>
      <xdr:grpSpPr>
        <a:xfrm>
          <a:off x="247650" y="466724"/>
          <a:ext cx="1828800" cy="676275"/>
          <a:chOff x="790575" y="1114425"/>
          <a:chExt cx="1933575" cy="666750"/>
        </a:xfrm>
      </xdr:grpSpPr>
      <xdr:sp macro="[0]!Current_Stock" textlink="">
        <xdr:nvSpPr>
          <xdr:cNvPr id="2" name="Rounded Rectangle 1"/>
          <xdr:cNvSpPr/>
        </xdr:nvSpPr>
        <xdr:spPr>
          <a:xfrm>
            <a:off x="790575" y="1114425"/>
            <a:ext cx="1933575" cy="666750"/>
          </a:xfrm>
          <a:prstGeom prst="roundRect">
            <a:avLst/>
          </a:prstGeom>
          <a:ln>
            <a:solidFill>
              <a:schemeClr val="tx2">
                <a:lumMod val="60000"/>
                <a:lumOff val="40000"/>
              </a:schemeClr>
            </a:solidFill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urrent_Stock" textlink="Support!A1">
        <xdr:nvSpPr>
          <xdr:cNvPr id="3" name="TextBox 2"/>
          <xdr:cNvSpPr txBox="1"/>
        </xdr:nvSpPr>
        <xdr:spPr>
          <a:xfrm>
            <a:off x="1076325" y="1504949"/>
            <a:ext cx="1343025" cy="24765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76CFC46-5D0A-441C-A3E6-DB88E61BC667}" type="TxLink">
              <a:rPr lang="en-US" sz="1100" b="1" i="0" u="none" strike="noStrike">
                <a:ln>
                  <a:noFill/>
                </a:ln>
                <a:solidFill>
                  <a:srgbClr val="000000"/>
                </a:solidFill>
                <a:latin typeface="Calibri"/>
                <a:cs typeface="Calibri"/>
              </a:rPr>
              <a:pPr algn="ctr"/>
              <a:t>Current Stock</a:t>
            </a:fld>
            <a:endParaRPr lang="en-US" sz="1100">
              <a:ln>
                <a:noFill/>
              </a:ln>
            </a:endParaRPr>
          </a:p>
        </xdr:txBody>
      </xdr:sp>
      <xdr:sp macro="[0]!Current_Stock" textlink="Support!B1">
        <xdr:nvSpPr>
          <xdr:cNvPr id="4" name="TextBox 3"/>
          <xdr:cNvSpPr txBox="1"/>
        </xdr:nvSpPr>
        <xdr:spPr>
          <a:xfrm>
            <a:off x="1295400" y="1200151"/>
            <a:ext cx="1019175" cy="3238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9099DD9-EBAA-4249-825F-EB4C82FBA4E8}" type="TxLink">
              <a:rPr lang="en-US" sz="1800" b="1" i="0" u="none" strike="noStrike">
                <a:solidFill>
                  <a:schemeClr val="accent5">
                    <a:lumMod val="75000"/>
                  </a:schemeClr>
                </a:solidFill>
                <a:latin typeface="Calibri"/>
                <a:cs typeface="Calibri"/>
              </a:rPr>
              <a:pPr algn="ctr"/>
              <a:t>1517</a:t>
            </a:fld>
            <a:endParaRPr lang="en-US" sz="1800" b="1">
              <a:solidFill>
                <a:schemeClr val="accent5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22</xdr:col>
      <xdr:colOff>171450</xdr:colOff>
      <xdr:row>12</xdr:row>
      <xdr:rowOff>76201</xdr:rowOff>
    </xdr:from>
    <xdr:to>
      <xdr:col>23</xdr:col>
      <xdr:colOff>581025</xdr:colOff>
      <xdr:row>14</xdr:row>
      <xdr:rowOff>19051</xdr:rowOff>
    </xdr:to>
    <xdr:sp macro="" textlink="Support!B1">
      <xdr:nvSpPr>
        <xdr:cNvPr id="5" name="TextBox 4"/>
        <xdr:cNvSpPr txBox="1"/>
      </xdr:nvSpPr>
      <xdr:spPr>
        <a:xfrm>
          <a:off x="13582650" y="2362201"/>
          <a:ext cx="101917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099DD9-EBAA-4249-825F-EB4C82FBA4E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1517</a:t>
          </a:fld>
          <a:endParaRPr lang="en-US" sz="1100"/>
        </a:p>
      </xdr:txBody>
    </xdr:sp>
    <xdr:clientData/>
  </xdr:twoCellAnchor>
  <xdr:twoCellAnchor editAs="absolute">
    <xdr:from>
      <xdr:col>1</xdr:col>
      <xdr:colOff>111919</xdr:colOff>
      <xdr:row>2</xdr:row>
      <xdr:rowOff>85725</xdr:rowOff>
    </xdr:from>
    <xdr:to>
      <xdr:col>3</xdr:col>
      <xdr:colOff>16669</xdr:colOff>
      <xdr:row>5</xdr:row>
      <xdr:rowOff>154305</xdr:rowOff>
    </xdr:to>
    <xdr:grpSp>
      <xdr:nvGrpSpPr>
        <xdr:cNvPr id="25" name="Group 24"/>
        <xdr:cNvGrpSpPr/>
      </xdr:nvGrpSpPr>
      <xdr:grpSpPr>
        <a:xfrm>
          <a:off x="2369344" y="466725"/>
          <a:ext cx="1828800" cy="640080"/>
          <a:chOff x="3000375" y="1085850"/>
          <a:chExt cx="1933575" cy="666750"/>
        </a:xfrm>
      </xdr:grpSpPr>
      <xdr:sp macro="" textlink="">
        <xdr:nvSpPr>
          <xdr:cNvPr id="7" name="Rounded Rectangle 6"/>
          <xdr:cNvSpPr/>
        </xdr:nvSpPr>
        <xdr:spPr>
          <a:xfrm>
            <a:off x="3000375" y="1085850"/>
            <a:ext cx="1933575" cy="666750"/>
          </a:xfrm>
          <a:prstGeom prst="roundRect">
            <a:avLst/>
          </a:prstGeom>
          <a:ln>
            <a:solidFill>
              <a:schemeClr val="tx2">
                <a:lumMod val="60000"/>
                <a:lumOff val="40000"/>
              </a:schemeClr>
            </a:solidFill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Support!A2">
        <xdr:nvSpPr>
          <xdr:cNvPr id="8" name="TextBox 7"/>
          <xdr:cNvSpPr txBox="1"/>
        </xdr:nvSpPr>
        <xdr:spPr>
          <a:xfrm>
            <a:off x="3305175" y="1485899"/>
            <a:ext cx="1343025" cy="24765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BB67054-F607-41F9-AEF6-08DAD744C641}" type="TxLink">
              <a:rPr lang="en-US" sz="1100" b="1" i="0" u="none" strike="noStrike">
                <a:ln>
                  <a:noFill/>
                </a:ln>
                <a:solidFill>
                  <a:srgbClr val="000000"/>
                </a:solidFill>
                <a:latin typeface="Calibri"/>
                <a:cs typeface="Calibri"/>
              </a:rPr>
              <a:pPr algn="ctr"/>
              <a:t>Stock Value</a:t>
            </a:fld>
            <a:endParaRPr lang="en-US" sz="1100">
              <a:ln>
                <a:noFill/>
              </a:ln>
            </a:endParaRPr>
          </a:p>
        </xdr:txBody>
      </xdr:sp>
      <xdr:sp macro="" textlink="Support!B2">
        <xdr:nvSpPr>
          <xdr:cNvPr id="9" name="TextBox 8"/>
          <xdr:cNvSpPr txBox="1"/>
        </xdr:nvSpPr>
        <xdr:spPr>
          <a:xfrm>
            <a:off x="3143250" y="1133476"/>
            <a:ext cx="1714500" cy="3429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BF6345B8-8CEA-405F-939D-DEA4A88C24AE}" type="TxLink">
              <a:rPr lang="en-US" sz="1800" b="1" i="0" u="none" strike="noStrike">
                <a:solidFill>
                  <a:schemeClr val="accent5">
                    <a:lumMod val="75000"/>
                  </a:schemeClr>
                </a:solidFill>
                <a:latin typeface="Calibri"/>
                <a:ea typeface="+mn-ea"/>
                <a:cs typeface="Calibri"/>
              </a:rPr>
              <a:pPr marL="0" indent="0" algn="ctr"/>
              <a:t> $430,199.50 </a:t>
            </a:fld>
            <a:endParaRPr lang="en-US" sz="1800" b="1" i="0" u="none" strike="noStrike">
              <a:solidFill>
                <a:schemeClr val="accent5">
                  <a:lumMod val="75000"/>
                </a:schemeClr>
              </a:solidFill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3</xdr:col>
      <xdr:colOff>309563</xdr:colOff>
      <xdr:row>2</xdr:row>
      <xdr:rowOff>85725</xdr:rowOff>
    </xdr:from>
    <xdr:to>
      <xdr:col>5</xdr:col>
      <xdr:colOff>42863</xdr:colOff>
      <xdr:row>5</xdr:row>
      <xdr:rowOff>154305</xdr:rowOff>
    </xdr:to>
    <xdr:grpSp>
      <xdr:nvGrpSpPr>
        <xdr:cNvPr id="26" name="Group 25"/>
        <xdr:cNvGrpSpPr/>
      </xdr:nvGrpSpPr>
      <xdr:grpSpPr>
        <a:xfrm>
          <a:off x="4491038" y="466725"/>
          <a:ext cx="1828800" cy="640080"/>
          <a:chOff x="5229225" y="1095375"/>
          <a:chExt cx="1933575" cy="666750"/>
        </a:xfrm>
      </xdr:grpSpPr>
      <xdr:sp macro="" textlink="">
        <xdr:nvSpPr>
          <xdr:cNvPr id="10" name="Rounded Rectangle 9"/>
          <xdr:cNvSpPr/>
        </xdr:nvSpPr>
        <xdr:spPr>
          <a:xfrm>
            <a:off x="5229225" y="1095375"/>
            <a:ext cx="1933575" cy="666750"/>
          </a:xfrm>
          <a:prstGeom prst="roundRect">
            <a:avLst/>
          </a:prstGeom>
          <a:ln>
            <a:solidFill>
              <a:schemeClr val="tx2">
                <a:lumMod val="60000"/>
                <a:lumOff val="40000"/>
              </a:schemeClr>
            </a:solidFill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Support!A3">
        <xdr:nvSpPr>
          <xdr:cNvPr id="11" name="TextBox 10"/>
          <xdr:cNvSpPr txBox="1"/>
        </xdr:nvSpPr>
        <xdr:spPr>
          <a:xfrm>
            <a:off x="5534025" y="1495424"/>
            <a:ext cx="1343025" cy="24765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27D7E4-0DF9-498D-A67B-4927553531D4}" type="TxLink">
              <a:rPr lang="en-US" sz="1100" b="1" i="0" u="none" strike="noStrike">
                <a:ln>
                  <a:noFill/>
                </a:ln>
                <a:solidFill>
                  <a:srgbClr val="000000"/>
                </a:solidFill>
                <a:latin typeface="Calibri"/>
                <a:cs typeface="Calibri"/>
              </a:rPr>
              <a:pPr algn="ctr"/>
              <a:t>Stock Cost</a:t>
            </a:fld>
            <a:endParaRPr lang="en-US" sz="1100">
              <a:ln>
                <a:noFill/>
              </a:ln>
            </a:endParaRPr>
          </a:p>
        </xdr:txBody>
      </xdr:sp>
      <xdr:sp macro="" textlink="Support!B3">
        <xdr:nvSpPr>
          <xdr:cNvPr id="12" name="TextBox 11"/>
          <xdr:cNvSpPr txBox="1"/>
        </xdr:nvSpPr>
        <xdr:spPr>
          <a:xfrm>
            <a:off x="5391150" y="1143001"/>
            <a:ext cx="1581149" cy="3238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AEE73955-F2FB-44DA-9994-8B2E6B88EE31}" type="TxLink">
              <a:rPr lang="en-US" sz="1800" b="1" i="0" u="none" strike="noStrike">
                <a:solidFill>
                  <a:schemeClr val="accent5">
                    <a:lumMod val="75000"/>
                  </a:schemeClr>
                </a:solidFill>
                <a:latin typeface="Calibri"/>
                <a:ea typeface="+mn-ea"/>
                <a:cs typeface="Calibri"/>
              </a:rPr>
              <a:pPr marL="0" indent="0" algn="ctr"/>
              <a:t> $244,301.85 </a:t>
            </a:fld>
            <a:endParaRPr lang="en-US" sz="1800" b="1" i="0" u="none" strike="noStrike">
              <a:solidFill>
                <a:schemeClr val="accent5">
                  <a:lumMod val="75000"/>
                </a:schemeClr>
              </a:solidFill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5</xdr:col>
      <xdr:colOff>335757</xdr:colOff>
      <xdr:row>2</xdr:row>
      <xdr:rowOff>85725</xdr:rowOff>
    </xdr:from>
    <xdr:to>
      <xdr:col>6</xdr:col>
      <xdr:colOff>1088232</xdr:colOff>
      <xdr:row>5</xdr:row>
      <xdr:rowOff>154305</xdr:rowOff>
    </xdr:to>
    <xdr:grpSp>
      <xdr:nvGrpSpPr>
        <xdr:cNvPr id="27" name="Group 26"/>
        <xdr:cNvGrpSpPr/>
      </xdr:nvGrpSpPr>
      <xdr:grpSpPr>
        <a:xfrm>
          <a:off x="6612732" y="466725"/>
          <a:ext cx="1828800" cy="640080"/>
          <a:chOff x="7343775" y="1095375"/>
          <a:chExt cx="1933575" cy="666750"/>
        </a:xfrm>
      </xdr:grpSpPr>
      <xdr:sp macro="[0]!ReOrder" textlink="">
        <xdr:nvSpPr>
          <xdr:cNvPr id="16" name="Rounded Rectangle 15"/>
          <xdr:cNvSpPr/>
        </xdr:nvSpPr>
        <xdr:spPr>
          <a:xfrm>
            <a:off x="7343775" y="1095375"/>
            <a:ext cx="1933575" cy="666750"/>
          </a:xfrm>
          <a:prstGeom prst="roundRect">
            <a:avLst/>
          </a:prstGeom>
          <a:ln>
            <a:solidFill>
              <a:schemeClr val="tx2">
                <a:lumMod val="60000"/>
                <a:lumOff val="40000"/>
              </a:schemeClr>
            </a:solidFill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ReOrder" textlink="Support!A4">
        <xdr:nvSpPr>
          <xdr:cNvPr id="17" name="TextBox 16"/>
          <xdr:cNvSpPr txBox="1"/>
        </xdr:nvSpPr>
        <xdr:spPr>
          <a:xfrm>
            <a:off x="7648575" y="1495424"/>
            <a:ext cx="1343025" cy="24765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2190D25-5744-4874-963F-7C5368241135}" type="TxLink">
              <a:rPr lang="en-US" sz="1100" b="1" i="0" u="none" strike="noStrike">
                <a:ln>
                  <a:noFill/>
                </a:ln>
                <a:solidFill>
                  <a:srgbClr val="000000"/>
                </a:solidFill>
                <a:latin typeface="Calibri"/>
                <a:cs typeface="Calibri"/>
              </a:rPr>
              <a:pPr algn="ctr"/>
              <a:t>Re-Order</a:t>
            </a:fld>
            <a:endParaRPr lang="en-US" sz="1100">
              <a:ln>
                <a:noFill/>
              </a:ln>
            </a:endParaRPr>
          </a:p>
        </xdr:txBody>
      </xdr:sp>
      <xdr:sp macro="[0]!ReOrder" textlink="Support!B4">
        <xdr:nvSpPr>
          <xdr:cNvPr id="18" name="TextBox 17"/>
          <xdr:cNvSpPr txBox="1"/>
        </xdr:nvSpPr>
        <xdr:spPr>
          <a:xfrm>
            <a:off x="7839075" y="1143001"/>
            <a:ext cx="1019175" cy="3238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1AC436E-0DC9-4AEC-9AB0-C4AA885A58F0}" type="TxLink">
              <a:rPr lang="en-US" sz="1800" b="1" i="0" u="none" strike="noStrike">
                <a:solidFill>
                  <a:schemeClr val="accent5">
                    <a:lumMod val="75000"/>
                  </a:schemeClr>
                </a:solidFill>
                <a:latin typeface="Calibri"/>
                <a:cs typeface="Calibri"/>
              </a:rPr>
              <a:pPr algn="ctr"/>
              <a:t>1</a:t>
            </a:fld>
            <a:endParaRPr lang="en-US" sz="1800" b="1">
              <a:solidFill>
                <a:schemeClr val="accent5">
                  <a:lumMod val="7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7</xdr:col>
      <xdr:colOff>161925</xdr:colOff>
      <xdr:row>2</xdr:row>
      <xdr:rowOff>85725</xdr:rowOff>
    </xdr:from>
    <xdr:to>
      <xdr:col>8</xdr:col>
      <xdr:colOff>866775</xdr:colOff>
      <xdr:row>5</xdr:row>
      <xdr:rowOff>154305</xdr:rowOff>
    </xdr:to>
    <xdr:grpSp>
      <xdr:nvGrpSpPr>
        <xdr:cNvPr id="28" name="Group 27"/>
        <xdr:cNvGrpSpPr/>
      </xdr:nvGrpSpPr>
      <xdr:grpSpPr>
        <a:xfrm>
          <a:off x="8734425" y="466725"/>
          <a:ext cx="1828800" cy="640080"/>
          <a:chOff x="9382125" y="1114425"/>
          <a:chExt cx="1933575" cy="666750"/>
        </a:xfrm>
      </xdr:grpSpPr>
      <xdr:sp macro="[0]!Out_Of_Stock" textlink="">
        <xdr:nvSpPr>
          <xdr:cNvPr id="19" name="Rounded Rectangle 18"/>
          <xdr:cNvSpPr/>
        </xdr:nvSpPr>
        <xdr:spPr>
          <a:xfrm>
            <a:off x="9382125" y="1114425"/>
            <a:ext cx="1933575" cy="666750"/>
          </a:xfrm>
          <a:prstGeom prst="roundRect">
            <a:avLst/>
          </a:prstGeom>
          <a:ln>
            <a:solidFill>
              <a:schemeClr val="tx2">
                <a:lumMod val="60000"/>
                <a:lumOff val="40000"/>
              </a:schemeClr>
            </a:solidFill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Out_Of_Stock" textlink="Support!A5">
        <xdr:nvSpPr>
          <xdr:cNvPr id="20" name="TextBox 19"/>
          <xdr:cNvSpPr txBox="1"/>
        </xdr:nvSpPr>
        <xdr:spPr>
          <a:xfrm>
            <a:off x="9686925" y="1514474"/>
            <a:ext cx="1343025" cy="24765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3741227-345F-4274-BADB-9E0BD5D34A04}" type="TxLink">
              <a:rPr lang="en-US" sz="1100" b="1" i="0" u="none" strike="noStrike">
                <a:ln>
                  <a:noFill/>
                </a:ln>
                <a:solidFill>
                  <a:srgbClr val="000000"/>
                </a:solidFill>
                <a:latin typeface="Calibri"/>
                <a:cs typeface="Calibri"/>
              </a:rPr>
              <a:pPr algn="ctr"/>
              <a:t>Out of Stock</a:t>
            </a:fld>
            <a:endParaRPr lang="en-US" sz="1100">
              <a:ln>
                <a:noFill/>
              </a:ln>
            </a:endParaRPr>
          </a:p>
        </xdr:txBody>
      </xdr:sp>
      <xdr:sp macro="[0]!Out_Of_Stock" textlink="Support!B5">
        <xdr:nvSpPr>
          <xdr:cNvPr id="21" name="TextBox 20"/>
          <xdr:cNvSpPr txBox="1"/>
        </xdr:nvSpPr>
        <xdr:spPr>
          <a:xfrm>
            <a:off x="9877425" y="1162051"/>
            <a:ext cx="1019175" cy="3238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73A50B4-2CAF-4183-8E6F-1CE9708FECC5}" type="TxLink">
              <a:rPr lang="en-US" sz="1800" b="1" i="0" u="none" strike="noStrike">
                <a:solidFill>
                  <a:schemeClr val="accent5">
                    <a:lumMod val="75000"/>
                  </a:schemeClr>
                </a:solidFill>
                <a:latin typeface="Calibri"/>
                <a:cs typeface="Calibri"/>
              </a:rPr>
              <a:pPr algn="ctr"/>
              <a:t>0</a:t>
            </a:fld>
            <a:endParaRPr lang="en-US" sz="1800" b="1">
              <a:solidFill>
                <a:schemeClr val="accent5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1028700</xdr:colOff>
      <xdr:row>2</xdr:row>
      <xdr:rowOff>76200</xdr:rowOff>
    </xdr:from>
    <xdr:to>
      <xdr:col>9</xdr:col>
      <xdr:colOff>752475</xdr:colOff>
      <xdr:row>4</xdr:row>
      <xdr:rowOff>38100</xdr:rowOff>
    </xdr:to>
    <xdr:sp macro="[0]!Show_Search_Frm" textlink="">
      <xdr:nvSpPr>
        <xdr:cNvPr id="6" name="Rounded Rectangle 5"/>
        <xdr:cNvSpPr/>
      </xdr:nvSpPr>
      <xdr:spPr>
        <a:xfrm>
          <a:off x="10725150" y="457200"/>
          <a:ext cx="895350" cy="34290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SEARCH</a:t>
          </a:r>
        </a:p>
      </xdr:txBody>
    </xdr:sp>
    <xdr:clientData/>
  </xdr:twoCellAnchor>
  <xdr:twoCellAnchor>
    <xdr:from>
      <xdr:col>8</xdr:col>
      <xdr:colOff>1028700</xdr:colOff>
      <xdr:row>4</xdr:row>
      <xdr:rowOff>114300</xdr:rowOff>
    </xdr:from>
    <xdr:to>
      <xdr:col>9</xdr:col>
      <xdr:colOff>752475</xdr:colOff>
      <xdr:row>6</xdr:row>
      <xdr:rowOff>76200</xdr:rowOff>
    </xdr:to>
    <xdr:sp macro="[0]!Show_Update_Inventory_Frm" textlink="">
      <xdr:nvSpPr>
        <xdr:cNvPr id="29" name="Rounded Rectangle 28"/>
        <xdr:cNvSpPr/>
      </xdr:nvSpPr>
      <xdr:spPr>
        <a:xfrm>
          <a:off x="10725150" y="876300"/>
          <a:ext cx="895350" cy="34290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ADD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50"/>
  <sheetViews>
    <sheetView showGridLines="0" workbookViewId="0">
      <pane ySplit="9" topLeftCell="A40" activePane="bottomLeft" state="frozen"/>
      <selection pane="bottomLeft" sqref="A1:J2"/>
    </sheetView>
  </sheetViews>
  <sheetFormatPr defaultRowHeight="15" x14ac:dyDescent="0.25"/>
  <cols>
    <col min="1" max="1" width="33.85546875" customWidth="1"/>
    <col min="2" max="2" width="16.28515625" customWidth="1"/>
    <col min="3" max="3" width="12.5703125" customWidth="1"/>
    <col min="4" max="4" width="14.85546875" customWidth="1"/>
    <col min="5" max="5" width="16.5703125" customWidth="1"/>
    <col min="6" max="6" width="16.140625" customWidth="1"/>
    <col min="7" max="7" width="18.28515625" customWidth="1"/>
    <col min="8" max="8" width="16.85546875" customWidth="1"/>
    <col min="9" max="9" width="17.5703125" customWidth="1"/>
    <col min="10" max="10" width="14" bestFit="1" customWidth="1"/>
  </cols>
  <sheetData>
    <row r="1" spans="1:19" ht="15" customHeight="1" x14ac:dyDescent="0.25">
      <c r="A1" s="12" t="s">
        <v>64</v>
      </c>
      <c r="B1" s="12"/>
      <c r="C1" s="12"/>
      <c r="D1" s="12"/>
      <c r="E1" s="12"/>
      <c r="F1" s="12"/>
      <c r="G1" s="12"/>
      <c r="H1" s="12"/>
      <c r="I1" s="12"/>
      <c r="J1" s="12"/>
      <c r="K1" s="11"/>
      <c r="L1" s="11"/>
      <c r="M1" s="11"/>
      <c r="N1" s="11"/>
      <c r="O1" s="11"/>
      <c r="P1" s="11"/>
      <c r="Q1" s="11"/>
      <c r="R1" s="11"/>
      <c r="S1" s="11"/>
    </row>
    <row r="2" spans="1:19" ht="15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1"/>
      <c r="L2" s="11"/>
      <c r="M2" s="11"/>
      <c r="N2" s="11"/>
      <c r="O2" s="11"/>
      <c r="P2" s="11"/>
      <c r="Q2" s="11"/>
      <c r="R2" s="11"/>
      <c r="S2" s="11"/>
    </row>
    <row r="7" spans="1:19" x14ac:dyDescent="0.25">
      <c r="A7" s="13"/>
      <c r="B7" s="13"/>
      <c r="C7" s="13"/>
      <c r="D7" s="13"/>
      <c r="E7" s="13"/>
      <c r="F7" s="13"/>
      <c r="G7" s="13"/>
      <c r="H7" s="13"/>
      <c r="I7" s="14"/>
      <c r="J7" s="13"/>
    </row>
    <row r="8" spans="1:19" x14ac:dyDescent="0.25">
      <c r="A8" s="7" t="s">
        <v>0</v>
      </c>
      <c r="B8" s="7" t="s">
        <v>53</v>
      </c>
      <c r="C8" s="7" t="s">
        <v>54</v>
      </c>
      <c r="D8" s="7" t="s">
        <v>55</v>
      </c>
      <c r="E8" s="7" t="s">
        <v>56</v>
      </c>
      <c r="F8" s="7" t="s">
        <v>57</v>
      </c>
      <c r="G8" s="7" t="s">
        <v>58</v>
      </c>
      <c r="H8" s="7" t="s">
        <v>59</v>
      </c>
      <c r="I8" s="8" t="s">
        <v>60</v>
      </c>
      <c r="J8" s="7" t="s">
        <v>3</v>
      </c>
    </row>
    <row r="9" spans="1:19" x14ac:dyDescent="0.25">
      <c r="A9" s="2" t="s">
        <v>5</v>
      </c>
      <c r="B9">
        <v>31</v>
      </c>
      <c r="C9">
        <v>0</v>
      </c>
      <c r="D9">
        <v>0</v>
      </c>
      <c r="E9">
        <v>31</v>
      </c>
      <c r="F9">
        <v>7299.88</v>
      </c>
      <c r="G9">
        <v>4525.9256000000005</v>
      </c>
      <c r="H9">
        <v>6</v>
      </c>
      <c r="I9" t="s">
        <v>67</v>
      </c>
      <c r="J9">
        <v>15</v>
      </c>
    </row>
    <row r="10" spans="1:19" x14ac:dyDescent="0.25">
      <c r="A10" s="2" t="s">
        <v>6</v>
      </c>
      <c r="B10">
        <v>22</v>
      </c>
      <c r="C10">
        <v>0</v>
      </c>
      <c r="D10">
        <v>0</v>
      </c>
      <c r="E10">
        <v>22</v>
      </c>
      <c r="F10">
        <v>9780.5399999999991</v>
      </c>
      <c r="G10">
        <v>5868.3239999999987</v>
      </c>
      <c r="H10">
        <v>6</v>
      </c>
      <c r="I10" t="s">
        <v>67</v>
      </c>
      <c r="J10">
        <v>3</v>
      </c>
    </row>
    <row r="11" spans="1:19" x14ac:dyDescent="0.25">
      <c r="A11" s="2" t="s">
        <v>7</v>
      </c>
      <c r="B11">
        <v>39</v>
      </c>
      <c r="C11">
        <v>0</v>
      </c>
      <c r="D11">
        <v>0</v>
      </c>
      <c r="E11">
        <v>39</v>
      </c>
      <c r="F11">
        <v>17141.669999999998</v>
      </c>
      <c r="G11">
        <v>11313.502199999999</v>
      </c>
      <c r="H11">
        <v>4</v>
      </c>
      <c r="I11" t="s">
        <v>67</v>
      </c>
      <c r="J11">
        <v>2</v>
      </c>
    </row>
    <row r="12" spans="1:19" x14ac:dyDescent="0.25">
      <c r="A12" s="2" t="s">
        <v>8</v>
      </c>
      <c r="B12">
        <v>30</v>
      </c>
      <c r="C12">
        <v>0</v>
      </c>
      <c r="D12">
        <v>0</v>
      </c>
      <c r="E12">
        <v>30</v>
      </c>
      <c r="F12">
        <v>8538</v>
      </c>
      <c r="G12">
        <v>3415.2000000000007</v>
      </c>
      <c r="H12">
        <v>8</v>
      </c>
      <c r="I12" t="s">
        <v>67</v>
      </c>
      <c r="J12">
        <v>1</v>
      </c>
    </row>
    <row r="13" spans="1:19" x14ac:dyDescent="0.25">
      <c r="A13" s="2" t="s">
        <v>9</v>
      </c>
      <c r="B13">
        <v>23</v>
      </c>
      <c r="C13">
        <v>60</v>
      </c>
      <c r="D13">
        <v>0</v>
      </c>
      <c r="E13">
        <v>83</v>
      </c>
      <c r="F13">
        <v>14951.619999999999</v>
      </c>
      <c r="G13">
        <v>9868.0691999999999</v>
      </c>
      <c r="H13">
        <v>4</v>
      </c>
      <c r="I13" t="s">
        <v>67</v>
      </c>
      <c r="J13">
        <v>3</v>
      </c>
    </row>
    <row r="14" spans="1:19" x14ac:dyDescent="0.25">
      <c r="A14" s="2" t="s">
        <v>10</v>
      </c>
      <c r="B14">
        <v>40</v>
      </c>
      <c r="C14">
        <v>0</v>
      </c>
      <c r="D14">
        <v>0</v>
      </c>
      <c r="E14">
        <v>40</v>
      </c>
      <c r="F14">
        <v>9608.4</v>
      </c>
      <c r="G14">
        <v>5668.9559999999992</v>
      </c>
      <c r="H14">
        <v>6</v>
      </c>
      <c r="I14" t="s">
        <v>67</v>
      </c>
      <c r="J14">
        <v>6</v>
      </c>
    </row>
    <row r="15" spans="1:19" x14ac:dyDescent="0.25">
      <c r="A15" s="2" t="s">
        <v>11</v>
      </c>
      <c r="B15">
        <v>39</v>
      </c>
      <c r="C15">
        <v>0</v>
      </c>
      <c r="D15">
        <v>0</v>
      </c>
      <c r="E15">
        <v>39</v>
      </c>
      <c r="F15">
        <v>4990.4399999999996</v>
      </c>
      <c r="G15">
        <v>1996.1759999999999</v>
      </c>
      <c r="H15">
        <v>8</v>
      </c>
      <c r="I15" t="s">
        <v>67</v>
      </c>
      <c r="J15">
        <v>15</v>
      </c>
    </row>
    <row r="16" spans="1:19" x14ac:dyDescent="0.25">
      <c r="A16" s="2" t="s">
        <v>12</v>
      </c>
      <c r="B16">
        <v>21</v>
      </c>
      <c r="C16">
        <v>0</v>
      </c>
      <c r="D16">
        <v>0</v>
      </c>
      <c r="E16">
        <v>21</v>
      </c>
      <c r="F16">
        <v>6365.1</v>
      </c>
      <c r="G16">
        <v>4137.3150000000005</v>
      </c>
      <c r="H16">
        <v>9</v>
      </c>
      <c r="I16" t="s">
        <v>67</v>
      </c>
      <c r="J16">
        <v>4</v>
      </c>
    </row>
    <row r="17" spans="1:10" x14ac:dyDescent="0.25">
      <c r="A17" s="2" t="s">
        <v>13</v>
      </c>
      <c r="B17">
        <v>37</v>
      </c>
      <c r="C17">
        <v>113</v>
      </c>
      <c r="D17">
        <v>148</v>
      </c>
      <c r="E17">
        <v>2</v>
      </c>
      <c r="F17">
        <v>273.27999999999997</v>
      </c>
      <c r="G17">
        <v>177.63199999999998</v>
      </c>
      <c r="H17">
        <v>8</v>
      </c>
      <c r="I17" t="s">
        <v>66</v>
      </c>
      <c r="J17">
        <v>5</v>
      </c>
    </row>
    <row r="18" spans="1:10" x14ac:dyDescent="0.25">
      <c r="A18" s="2" t="s">
        <v>14</v>
      </c>
      <c r="B18">
        <v>48</v>
      </c>
      <c r="C18">
        <v>0</v>
      </c>
      <c r="D18">
        <v>0</v>
      </c>
      <c r="E18">
        <v>48</v>
      </c>
      <c r="F18">
        <v>6668.16</v>
      </c>
      <c r="G18">
        <v>3400.7615999999998</v>
      </c>
      <c r="H18">
        <v>5</v>
      </c>
      <c r="I18" t="s">
        <v>67</v>
      </c>
      <c r="J18">
        <v>14</v>
      </c>
    </row>
    <row r="19" spans="1:10" x14ac:dyDescent="0.25">
      <c r="A19" s="2" t="s">
        <v>15</v>
      </c>
      <c r="B19">
        <v>33</v>
      </c>
      <c r="C19">
        <v>0</v>
      </c>
      <c r="D19">
        <v>0</v>
      </c>
      <c r="E19">
        <v>33</v>
      </c>
      <c r="F19">
        <v>9110.31</v>
      </c>
      <c r="G19">
        <v>4646.2581</v>
      </c>
      <c r="H19">
        <v>6</v>
      </c>
      <c r="I19" t="s">
        <v>67</v>
      </c>
      <c r="J19">
        <v>11</v>
      </c>
    </row>
    <row r="20" spans="1:10" x14ac:dyDescent="0.25">
      <c r="A20" s="2" t="s">
        <v>16</v>
      </c>
      <c r="B20">
        <v>39</v>
      </c>
      <c r="C20">
        <v>0</v>
      </c>
      <c r="D20">
        <v>0</v>
      </c>
      <c r="E20">
        <v>39</v>
      </c>
      <c r="F20">
        <v>15709.98</v>
      </c>
      <c r="G20">
        <v>10054.387199999999</v>
      </c>
      <c r="H20">
        <v>4</v>
      </c>
      <c r="I20" t="s">
        <v>67</v>
      </c>
      <c r="J20">
        <v>5</v>
      </c>
    </row>
    <row r="21" spans="1:10" x14ac:dyDescent="0.25">
      <c r="A21" s="2" t="s">
        <v>17</v>
      </c>
      <c r="B21">
        <v>49</v>
      </c>
      <c r="C21">
        <v>0</v>
      </c>
      <c r="D21">
        <v>0</v>
      </c>
      <c r="E21">
        <v>49</v>
      </c>
      <c r="F21">
        <v>11184.74</v>
      </c>
      <c r="G21">
        <v>4473.8959999999997</v>
      </c>
      <c r="H21">
        <v>5</v>
      </c>
      <c r="I21" t="s">
        <v>67</v>
      </c>
      <c r="J21">
        <v>5</v>
      </c>
    </row>
    <row r="22" spans="1:10" x14ac:dyDescent="0.25">
      <c r="A22" s="2" t="s">
        <v>18</v>
      </c>
      <c r="B22">
        <v>20</v>
      </c>
      <c r="C22">
        <v>0</v>
      </c>
      <c r="D22">
        <v>0</v>
      </c>
      <c r="E22">
        <v>20</v>
      </c>
      <c r="F22">
        <v>2278.8000000000002</v>
      </c>
      <c r="G22">
        <v>1595.1599999999999</v>
      </c>
      <c r="H22">
        <v>6</v>
      </c>
      <c r="I22" t="s">
        <v>67</v>
      </c>
      <c r="J22">
        <v>12</v>
      </c>
    </row>
    <row r="23" spans="1:10" x14ac:dyDescent="0.25">
      <c r="A23" s="2" t="s">
        <v>19</v>
      </c>
      <c r="B23">
        <v>21</v>
      </c>
      <c r="C23">
        <v>0</v>
      </c>
      <c r="D23">
        <v>0</v>
      </c>
      <c r="E23">
        <v>21</v>
      </c>
      <c r="F23">
        <v>2745.12</v>
      </c>
      <c r="G23">
        <v>1454.9135999999999</v>
      </c>
      <c r="H23">
        <v>9</v>
      </c>
      <c r="I23" t="s">
        <v>67</v>
      </c>
      <c r="J23">
        <v>6</v>
      </c>
    </row>
    <row r="24" spans="1:10" x14ac:dyDescent="0.25">
      <c r="A24" s="2" t="s">
        <v>20</v>
      </c>
      <c r="B24">
        <v>49</v>
      </c>
      <c r="C24">
        <v>0</v>
      </c>
      <c r="D24">
        <v>0</v>
      </c>
      <c r="E24">
        <v>49</v>
      </c>
      <c r="F24">
        <v>13691.58</v>
      </c>
      <c r="G24">
        <v>8899.527</v>
      </c>
      <c r="H24">
        <v>7</v>
      </c>
      <c r="I24" t="s">
        <v>67</v>
      </c>
      <c r="J24">
        <v>14</v>
      </c>
    </row>
    <row r="25" spans="1:10" x14ac:dyDescent="0.25">
      <c r="A25" s="2" t="s">
        <v>21</v>
      </c>
      <c r="B25">
        <v>28</v>
      </c>
      <c r="C25">
        <v>0</v>
      </c>
      <c r="D25">
        <v>0</v>
      </c>
      <c r="E25">
        <v>28</v>
      </c>
      <c r="F25">
        <v>9370.76</v>
      </c>
      <c r="G25">
        <v>5060.2104000000008</v>
      </c>
      <c r="H25">
        <v>5</v>
      </c>
      <c r="I25" t="s">
        <v>67</v>
      </c>
      <c r="J25">
        <v>9</v>
      </c>
    </row>
    <row r="26" spans="1:10" x14ac:dyDescent="0.25">
      <c r="A26" s="2" t="s">
        <v>22</v>
      </c>
      <c r="B26">
        <v>34</v>
      </c>
      <c r="C26">
        <v>0</v>
      </c>
      <c r="D26">
        <v>0</v>
      </c>
      <c r="E26">
        <v>34</v>
      </c>
      <c r="F26">
        <v>16213.24</v>
      </c>
      <c r="G26">
        <v>7944.4876000000004</v>
      </c>
      <c r="H26">
        <v>8</v>
      </c>
      <c r="I26" t="s">
        <v>67</v>
      </c>
      <c r="J26">
        <v>5</v>
      </c>
    </row>
    <row r="27" spans="1:10" x14ac:dyDescent="0.25">
      <c r="A27" s="2" t="s">
        <v>23</v>
      </c>
      <c r="B27">
        <v>31</v>
      </c>
      <c r="C27">
        <v>0</v>
      </c>
      <c r="D27">
        <v>0</v>
      </c>
      <c r="E27">
        <v>31</v>
      </c>
      <c r="F27">
        <v>13711.61</v>
      </c>
      <c r="G27">
        <v>8089.8498999999993</v>
      </c>
      <c r="H27">
        <v>8</v>
      </c>
      <c r="I27" t="s">
        <v>67</v>
      </c>
      <c r="J27">
        <v>9</v>
      </c>
    </row>
    <row r="28" spans="1:10" x14ac:dyDescent="0.25">
      <c r="A28" s="2" t="s">
        <v>24</v>
      </c>
      <c r="B28">
        <v>48</v>
      </c>
      <c r="C28">
        <v>0</v>
      </c>
      <c r="D28">
        <v>0</v>
      </c>
      <c r="E28">
        <v>48</v>
      </c>
      <c r="F28">
        <v>6128.64</v>
      </c>
      <c r="G28">
        <v>4044.9024000000009</v>
      </c>
      <c r="H28">
        <v>4</v>
      </c>
      <c r="I28" t="s">
        <v>67</v>
      </c>
      <c r="J28">
        <v>7</v>
      </c>
    </row>
    <row r="29" spans="1:10" x14ac:dyDescent="0.25">
      <c r="A29" s="2" t="s">
        <v>25</v>
      </c>
      <c r="B29">
        <v>42</v>
      </c>
      <c r="C29">
        <v>0</v>
      </c>
      <c r="D29">
        <v>0</v>
      </c>
      <c r="E29">
        <v>42</v>
      </c>
      <c r="F29">
        <v>9972.9</v>
      </c>
      <c r="G29">
        <v>5784.2819999999992</v>
      </c>
      <c r="H29">
        <v>9</v>
      </c>
      <c r="I29" t="s">
        <v>67</v>
      </c>
      <c r="J29">
        <v>8</v>
      </c>
    </row>
    <row r="30" spans="1:10" x14ac:dyDescent="0.25">
      <c r="A30" s="2" t="s">
        <v>26</v>
      </c>
      <c r="B30">
        <v>31</v>
      </c>
      <c r="C30">
        <v>0</v>
      </c>
      <c r="D30">
        <v>0</v>
      </c>
      <c r="E30">
        <v>31</v>
      </c>
      <c r="F30">
        <v>14337.81</v>
      </c>
      <c r="G30">
        <v>7312.2830999999996</v>
      </c>
      <c r="H30">
        <v>9</v>
      </c>
      <c r="I30" t="s">
        <v>67</v>
      </c>
      <c r="J30">
        <v>4</v>
      </c>
    </row>
    <row r="31" spans="1:10" x14ac:dyDescent="0.25">
      <c r="A31" s="2" t="s">
        <v>27</v>
      </c>
      <c r="B31">
        <v>29</v>
      </c>
      <c r="C31">
        <v>0</v>
      </c>
      <c r="D31">
        <v>0</v>
      </c>
      <c r="E31">
        <v>29</v>
      </c>
      <c r="F31">
        <v>13123.66</v>
      </c>
      <c r="G31">
        <v>8924.0888000000014</v>
      </c>
      <c r="H31">
        <v>9</v>
      </c>
      <c r="I31" t="s">
        <v>67</v>
      </c>
      <c r="J31">
        <v>11</v>
      </c>
    </row>
    <row r="32" spans="1:10" x14ac:dyDescent="0.25">
      <c r="A32" s="2" t="s">
        <v>28</v>
      </c>
      <c r="B32">
        <v>34</v>
      </c>
      <c r="C32">
        <v>0</v>
      </c>
      <c r="D32">
        <v>0</v>
      </c>
      <c r="E32">
        <v>34</v>
      </c>
      <c r="F32">
        <v>15771.92</v>
      </c>
      <c r="G32">
        <v>8989.9943999999996</v>
      </c>
      <c r="H32">
        <v>9</v>
      </c>
      <c r="I32" t="s">
        <v>67</v>
      </c>
      <c r="J32">
        <v>11</v>
      </c>
    </row>
    <row r="33" spans="1:10" x14ac:dyDescent="0.25">
      <c r="A33" s="2" t="s">
        <v>29</v>
      </c>
      <c r="B33">
        <v>20</v>
      </c>
      <c r="C33">
        <v>0</v>
      </c>
      <c r="D33">
        <v>0</v>
      </c>
      <c r="E33">
        <v>20</v>
      </c>
      <c r="F33">
        <v>3968.3999999999996</v>
      </c>
      <c r="G33">
        <v>1904.8319999999999</v>
      </c>
      <c r="H33">
        <v>8</v>
      </c>
      <c r="I33" t="s">
        <v>67</v>
      </c>
      <c r="J33">
        <v>13</v>
      </c>
    </row>
    <row r="34" spans="1:10" x14ac:dyDescent="0.25">
      <c r="A34" s="2" t="s">
        <v>30</v>
      </c>
      <c r="B34">
        <v>34</v>
      </c>
      <c r="C34">
        <v>0</v>
      </c>
      <c r="D34">
        <v>0</v>
      </c>
      <c r="E34">
        <v>34</v>
      </c>
      <c r="F34">
        <v>9183.06</v>
      </c>
      <c r="G34">
        <v>5877.1583999999993</v>
      </c>
      <c r="H34">
        <v>4</v>
      </c>
      <c r="I34" t="s">
        <v>67</v>
      </c>
      <c r="J34">
        <v>12</v>
      </c>
    </row>
    <row r="35" spans="1:10" x14ac:dyDescent="0.25">
      <c r="A35" s="2" t="s">
        <v>31</v>
      </c>
      <c r="B35">
        <v>42</v>
      </c>
      <c r="C35">
        <v>0</v>
      </c>
      <c r="D35">
        <v>0</v>
      </c>
      <c r="E35">
        <v>42</v>
      </c>
      <c r="F35">
        <v>6102.1799999999994</v>
      </c>
      <c r="G35">
        <v>3051.0899999999997</v>
      </c>
      <c r="H35">
        <v>7</v>
      </c>
      <c r="I35" t="s">
        <v>67</v>
      </c>
      <c r="J35">
        <v>6</v>
      </c>
    </row>
    <row r="36" spans="1:10" x14ac:dyDescent="0.25">
      <c r="A36" s="2" t="s">
        <v>32</v>
      </c>
      <c r="B36">
        <v>36</v>
      </c>
      <c r="C36">
        <v>45</v>
      </c>
      <c r="D36">
        <v>0</v>
      </c>
      <c r="E36">
        <v>81</v>
      </c>
      <c r="F36">
        <v>33299.910000000003</v>
      </c>
      <c r="G36">
        <v>17981.951400000002</v>
      </c>
      <c r="H36">
        <v>6</v>
      </c>
      <c r="I36" t="s">
        <v>67</v>
      </c>
      <c r="J36">
        <v>5</v>
      </c>
    </row>
    <row r="37" spans="1:10" x14ac:dyDescent="0.25">
      <c r="A37" s="2" t="s">
        <v>33</v>
      </c>
      <c r="B37">
        <v>40</v>
      </c>
      <c r="C37">
        <v>0</v>
      </c>
      <c r="D37">
        <v>0</v>
      </c>
      <c r="E37">
        <v>40</v>
      </c>
      <c r="F37">
        <v>15992</v>
      </c>
      <c r="G37">
        <v>8635.68</v>
      </c>
      <c r="H37">
        <v>7</v>
      </c>
      <c r="I37" t="s">
        <v>67</v>
      </c>
      <c r="J37">
        <v>13</v>
      </c>
    </row>
    <row r="38" spans="1:10" x14ac:dyDescent="0.25">
      <c r="A38" s="2" t="s">
        <v>34</v>
      </c>
      <c r="B38">
        <v>32</v>
      </c>
      <c r="C38">
        <v>0</v>
      </c>
      <c r="D38">
        <v>0</v>
      </c>
      <c r="E38">
        <v>32</v>
      </c>
      <c r="F38">
        <v>9587.84</v>
      </c>
      <c r="G38">
        <v>4314.5280000000002</v>
      </c>
      <c r="H38">
        <v>6</v>
      </c>
      <c r="I38" t="s">
        <v>67</v>
      </c>
      <c r="J38">
        <v>8</v>
      </c>
    </row>
    <row r="39" spans="1:10" x14ac:dyDescent="0.25">
      <c r="A39" s="2" t="s">
        <v>35</v>
      </c>
      <c r="B39">
        <v>44</v>
      </c>
      <c r="C39">
        <v>0</v>
      </c>
      <c r="D39">
        <v>0</v>
      </c>
      <c r="E39">
        <v>44</v>
      </c>
      <c r="F39">
        <v>12520.64</v>
      </c>
      <c r="G39">
        <v>8263.6224000000002</v>
      </c>
      <c r="H39">
        <v>4</v>
      </c>
      <c r="I39" t="s">
        <v>67</v>
      </c>
      <c r="J39">
        <v>4</v>
      </c>
    </row>
    <row r="40" spans="1:10" x14ac:dyDescent="0.25">
      <c r="A40" s="2" t="s">
        <v>36</v>
      </c>
      <c r="B40">
        <v>39</v>
      </c>
      <c r="C40">
        <v>0</v>
      </c>
      <c r="D40">
        <v>0</v>
      </c>
      <c r="E40">
        <v>39</v>
      </c>
      <c r="F40">
        <v>8966.8799999999992</v>
      </c>
      <c r="G40">
        <v>4304.1023999999998</v>
      </c>
      <c r="H40">
        <v>7</v>
      </c>
      <c r="I40" t="s">
        <v>67</v>
      </c>
      <c r="J40">
        <v>9</v>
      </c>
    </row>
    <row r="41" spans="1:10" x14ac:dyDescent="0.25">
      <c r="A41" s="2" t="s">
        <v>37</v>
      </c>
      <c r="B41">
        <v>20</v>
      </c>
      <c r="C41">
        <v>0</v>
      </c>
      <c r="D41">
        <v>0</v>
      </c>
      <c r="E41">
        <v>20</v>
      </c>
      <c r="F41">
        <v>7761.4</v>
      </c>
      <c r="G41">
        <v>3725.4719999999998</v>
      </c>
      <c r="H41">
        <v>7</v>
      </c>
      <c r="I41" t="s">
        <v>67</v>
      </c>
      <c r="J41">
        <v>4</v>
      </c>
    </row>
    <row r="42" spans="1:10" x14ac:dyDescent="0.25">
      <c r="A42" s="2" t="s">
        <v>38</v>
      </c>
      <c r="B42">
        <v>30</v>
      </c>
      <c r="C42">
        <v>0</v>
      </c>
      <c r="D42">
        <v>0</v>
      </c>
      <c r="E42">
        <v>30</v>
      </c>
      <c r="F42">
        <v>3790.5</v>
      </c>
      <c r="G42">
        <v>2008.9650000000001</v>
      </c>
      <c r="H42">
        <v>7</v>
      </c>
      <c r="I42" t="s">
        <v>67</v>
      </c>
      <c r="J42">
        <v>15</v>
      </c>
    </row>
    <row r="43" spans="1:10" x14ac:dyDescent="0.25">
      <c r="A43" s="2" t="s">
        <v>39</v>
      </c>
      <c r="B43">
        <v>21</v>
      </c>
      <c r="C43">
        <v>0</v>
      </c>
      <c r="D43">
        <v>0</v>
      </c>
      <c r="E43">
        <v>21</v>
      </c>
      <c r="F43">
        <v>4379.97</v>
      </c>
      <c r="G43">
        <v>2058.5858999999996</v>
      </c>
      <c r="H43">
        <v>6</v>
      </c>
      <c r="I43" t="s">
        <v>67</v>
      </c>
      <c r="J43">
        <v>4</v>
      </c>
    </row>
    <row r="44" spans="1:10" x14ac:dyDescent="0.25">
      <c r="A44" s="2" t="s">
        <v>40</v>
      </c>
      <c r="B44">
        <v>20</v>
      </c>
      <c r="C44">
        <v>0</v>
      </c>
      <c r="D44">
        <v>0</v>
      </c>
      <c r="E44">
        <v>20</v>
      </c>
      <c r="F44">
        <v>9430.8000000000011</v>
      </c>
      <c r="G44">
        <v>6412.9440000000013</v>
      </c>
      <c r="H44">
        <v>6</v>
      </c>
      <c r="I44" t="s">
        <v>67</v>
      </c>
      <c r="J44">
        <v>3</v>
      </c>
    </row>
    <row r="45" spans="1:10" x14ac:dyDescent="0.25">
      <c r="A45" s="2" t="s">
        <v>41</v>
      </c>
      <c r="B45">
        <v>40</v>
      </c>
      <c r="C45">
        <v>0</v>
      </c>
      <c r="D45">
        <v>0</v>
      </c>
      <c r="E45">
        <v>40</v>
      </c>
      <c r="F45">
        <v>13396</v>
      </c>
      <c r="G45">
        <v>7367.7999999999993</v>
      </c>
      <c r="H45">
        <v>7</v>
      </c>
      <c r="I45" t="s">
        <v>67</v>
      </c>
      <c r="J45">
        <v>10</v>
      </c>
    </row>
    <row r="46" spans="1:10" x14ac:dyDescent="0.25">
      <c r="A46" s="2" t="s">
        <v>42</v>
      </c>
      <c r="B46">
        <v>24</v>
      </c>
      <c r="C46">
        <v>0</v>
      </c>
      <c r="D46">
        <v>0</v>
      </c>
      <c r="E46">
        <v>24</v>
      </c>
      <c r="F46">
        <v>4333.68</v>
      </c>
      <c r="G46">
        <v>2383.5240000000003</v>
      </c>
      <c r="H46">
        <v>8</v>
      </c>
      <c r="I46" t="s">
        <v>67</v>
      </c>
      <c r="J46">
        <v>12</v>
      </c>
    </row>
    <row r="47" spans="1:10" x14ac:dyDescent="0.25">
      <c r="A47" s="2" t="s">
        <v>43</v>
      </c>
      <c r="B47">
        <v>28</v>
      </c>
      <c r="C47">
        <v>0</v>
      </c>
      <c r="D47">
        <v>0</v>
      </c>
      <c r="E47">
        <v>28</v>
      </c>
      <c r="F47">
        <v>2862.72</v>
      </c>
      <c r="G47">
        <v>1889.3951999999999</v>
      </c>
      <c r="H47">
        <v>9</v>
      </c>
      <c r="I47" t="s">
        <v>67</v>
      </c>
      <c r="J47">
        <v>3</v>
      </c>
    </row>
    <row r="48" spans="1:10" x14ac:dyDescent="0.25">
      <c r="A48" s="2" t="s">
        <v>44</v>
      </c>
      <c r="B48">
        <v>39</v>
      </c>
      <c r="C48">
        <v>20</v>
      </c>
      <c r="D48">
        <v>0</v>
      </c>
      <c r="E48">
        <v>59</v>
      </c>
      <c r="F48">
        <v>11717.4</v>
      </c>
      <c r="G48">
        <v>7147.6140000000005</v>
      </c>
      <c r="H48">
        <v>7</v>
      </c>
      <c r="I48" t="s">
        <v>67</v>
      </c>
      <c r="J48">
        <v>1</v>
      </c>
    </row>
    <row r="49" spans="1:10" x14ac:dyDescent="0.25">
      <c r="A49" s="2" t="s">
        <v>45</v>
      </c>
      <c r="B49">
        <v>48</v>
      </c>
      <c r="C49">
        <v>0</v>
      </c>
      <c r="D49">
        <v>0</v>
      </c>
      <c r="E49">
        <v>48</v>
      </c>
      <c r="F49">
        <v>16839.84</v>
      </c>
      <c r="G49">
        <v>8083.1231999999991</v>
      </c>
      <c r="H49">
        <v>4</v>
      </c>
      <c r="I49" t="s">
        <v>67</v>
      </c>
      <c r="J49">
        <v>9</v>
      </c>
    </row>
    <row r="50" spans="1:10" x14ac:dyDescent="0.25">
      <c r="A50" s="2" t="s">
        <v>46</v>
      </c>
      <c r="B50">
        <v>39</v>
      </c>
      <c r="C50">
        <v>0</v>
      </c>
      <c r="D50">
        <v>0</v>
      </c>
      <c r="E50">
        <v>39</v>
      </c>
      <c r="F50">
        <v>13157.82</v>
      </c>
      <c r="G50">
        <v>8684.1612000000005</v>
      </c>
      <c r="H50">
        <v>9</v>
      </c>
      <c r="I50" t="s">
        <v>67</v>
      </c>
      <c r="J50">
        <v>6</v>
      </c>
    </row>
  </sheetData>
  <mergeCells count="1">
    <mergeCell ref="A1:J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4"/>
  <sheetViews>
    <sheetView tabSelected="1" workbookViewId="0">
      <selection activeCell="K5" sqref="K5"/>
    </sheetView>
  </sheetViews>
  <sheetFormatPr defaultRowHeight="15" x14ac:dyDescent="0.25"/>
  <cols>
    <col min="1" max="1" width="31.28515625" style="15" bestFit="1" customWidth="1"/>
    <col min="2" max="2" width="15.140625" style="15" customWidth="1"/>
    <col min="3" max="3" width="15" customWidth="1"/>
    <col min="4" max="4" width="13.5703125" customWidth="1"/>
    <col min="5" max="5" width="17.140625" customWidth="1"/>
    <col min="6" max="6" width="13.5703125" customWidth="1"/>
    <col min="7" max="7" width="16.42578125" customWidth="1"/>
    <col min="8" max="8" width="15.5703125" customWidth="1"/>
  </cols>
  <sheetData>
    <row r="1" spans="1:8" x14ac:dyDescent="0.25">
      <c r="A1" s="1" t="s">
        <v>0</v>
      </c>
      <c r="B1" s="1" t="s">
        <v>47</v>
      </c>
      <c r="C1" s="1" t="s">
        <v>48</v>
      </c>
      <c r="D1" s="1" t="s">
        <v>49</v>
      </c>
      <c r="E1" s="4" t="s">
        <v>50</v>
      </c>
      <c r="F1" s="4" t="s">
        <v>51</v>
      </c>
      <c r="G1" s="4" t="s">
        <v>1</v>
      </c>
      <c r="H1" s="4" t="s">
        <v>52</v>
      </c>
    </row>
    <row r="2" spans="1:8" x14ac:dyDescent="0.25">
      <c r="A2" s="2" t="s">
        <v>5</v>
      </c>
      <c r="B2" s="15" t="s">
        <v>53</v>
      </c>
      <c r="C2" s="5">
        <v>44562</v>
      </c>
      <c r="D2" s="2">
        <v>31</v>
      </c>
      <c r="E2">
        <f>VLOOKUP(A2,'Product Master'!A:C,3,0)</f>
        <v>235.48</v>
      </c>
      <c r="F2">
        <f>E2*D2</f>
        <v>7299.88</v>
      </c>
      <c r="G2" s="6">
        <f>VLOOKUP(A2,'Product Master'!A:B,2,0)</f>
        <v>145.99760000000001</v>
      </c>
      <c r="H2" s="6">
        <f>G2*D2</f>
        <v>4525.9256000000005</v>
      </c>
    </row>
    <row r="3" spans="1:8" x14ac:dyDescent="0.25">
      <c r="A3" s="2" t="s">
        <v>6</v>
      </c>
      <c r="B3" s="15" t="s">
        <v>53</v>
      </c>
      <c r="C3" s="5">
        <v>44562</v>
      </c>
      <c r="D3" s="2">
        <v>22</v>
      </c>
      <c r="E3">
        <f>VLOOKUP(A3,'Product Master'!A:C,3,0)</f>
        <v>444.57</v>
      </c>
      <c r="F3">
        <f t="shared" ref="F3:F51" si="0">E3*D3</f>
        <v>9780.5399999999991</v>
      </c>
      <c r="G3" s="6">
        <f>VLOOKUP(A3,'Product Master'!A:B,2,0)</f>
        <v>266.74199999999996</v>
      </c>
      <c r="H3" s="6">
        <f t="shared" ref="H3:H51" si="1">G3*D3</f>
        <v>5868.3239999999987</v>
      </c>
    </row>
    <row r="4" spans="1:8" x14ac:dyDescent="0.25">
      <c r="A4" s="2" t="s">
        <v>7</v>
      </c>
      <c r="B4" s="15" t="s">
        <v>53</v>
      </c>
      <c r="C4" s="5">
        <v>44562</v>
      </c>
      <c r="D4" s="2">
        <v>39</v>
      </c>
      <c r="E4">
        <f>VLOOKUP(A4,'Product Master'!A:C,3,0)</f>
        <v>439.53</v>
      </c>
      <c r="F4">
        <f t="shared" si="0"/>
        <v>17141.669999999998</v>
      </c>
      <c r="G4" s="6">
        <f>VLOOKUP(A4,'Product Master'!A:B,2,0)</f>
        <v>290.08979999999997</v>
      </c>
      <c r="H4" s="6">
        <f t="shared" si="1"/>
        <v>11313.502199999999</v>
      </c>
    </row>
    <row r="5" spans="1:8" x14ac:dyDescent="0.25">
      <c r="A5" s="2" t="s">
        <v>8</v>
      </c>
      <c r="B5" s="15" t="s">
        <v>53</v>
      </c>
      <c r="C5" s="5">
        <v>44562</v>
      </c>
      <c r="D5" s="2">
        <v>30</v>
      </c>
      <c r="E5">
        <f>VLOOKUP(A5,'Product Master'!A:C,3,0)</f>
        <v>284.60000000000002</v>
      </c>
      <c r="F5">
        <f t="shared" si="0"/>
        <v>8538</v>
      </c>
      <c r="G5" s="6">
        <f>VLOOKUP(A5,'Product Master'!A:B,2,0)</f>
        <v>113.84000000000002</v>
      </c>
      <c r="H5" s="6">
        <f t="shared" si="1"/>
        <v>3415.2000000000007</v>
      </c>
    </row>
    <row r="6" spans="1:8" x14ac:dyDescent="0.25">
      <c r="A6" s="2" t="s">
        <v>9</v>
      </c>
      <c r="B6" s="15" t="s">
        <v>53</v>
      </c>
      <c r="C6" s="5">
        <v>44562</v>
      </c>
      <c r="D6" s="2">
        <v>23</v>
      </c>
      <c r="E6">
        <f>VLOOKUP(A6,'Product Master'!A:C,3,0)</f>
        <v>180.14</v>
      </c>
      <c r="F6">
        <f t="shared" si="0"/>
        <v>4143.2199999999993</v>
      </c>
      <c r="G6" s="6">
        <f>VLOOKUP(A6,'Product Master'!A:B,2,0)</f>
        <v>118.89239999999999</v>
      </c>
      <c r="H6" s="6">
        <f t="shared" si="1"/>
        <v>2734.5252</v>
      </c>
    </row>
    <row r="7" spans="1:8" x14ac:dyDescent="0.25">
      <c r="A7" s="2" t="s">
        <v>10</v>
      </c>
      <c r="B7" s="15" t="s">
        <v>53</v>
      </c>
      <c r="C7" s="5">
        <v>44562</v>
      </c>
      <c r="D7" s="2">
        <v>40</v>
      </c>
      <c r="E7">
        <f>VLOOKUP(A7,'Product Master'!A:C,3,0)</f>
        <v>240.21</v>
      </c>
      <c r="F7">
        <f t="shared" si="0"/>
        <v>9608.4</v>
      </c>
      <c r="G7" s="6">
        <f>VLOOKUP(A7,'Product Master'!A:B,2,0)</f>
        <v>141.72389999999999</v>
      </c>
      <c r="H7" s="6">
        <f t="shared" si="1"/>
        <v>5668.9559999999992</v>
      </c>
    </row>
    <row r="8" spans="1:8" x14ac:dyDescent="0.25">
      <c r="A8" s="2" t="s">
        <v>11</v>
      </c>
      <c r="B8" s="15" t="s">
        <v>53</v>
      </c>
      <c r="C8" s="5">
        <v>44562</v>
      </c>
      <c r="D8" s="2">
        <v>39</v>
      </c>
      <c r="E8">
        <f>VLOOKUP(A8,'Product Master'!A:C,3,0)</f>
        <v>127.96</v>
      </c>
      <c r="F8">
        <f t="shared" si="0"/>
        <v>4990.4399999999996</v>
      </c>
      <c r="G8" s="6">
        <f>VLOOKUP(A8,'Product Master'!A:B,2,0)</f>
        <v>51.183999999999997</v>
      </c>
      <c r="H8" s="6">
        <f t="shared" si="1"/>
        <v>1996.1759999999999</v>
      </c>
    </row>
    <row r="9" spans="1:8" x14ac:dyDescent="0.25">
      <c r="A9" s="2" t="s">
        <v>12</v>
      </c>
      <c r="B9" s="15" t="s">
        <v>53</v>
      </c>
      <c r="C9" s="5">
        <v>44562</v>
      </c>
      <c r="D9" s="2">
        <v>21</v>
      </c>
      <c r="E9">
        <f>VLOOKUP(A9,'Product Master'!A:C,3,0)</f>
        <v>303.10000000000002</v>
      </c>
      <c r="F9">
        <f t="shared" si="0"/>
        <v>6365.1</v>
      </c>
      <c r="G9" s="6">
        <f>VLOOKUP(A9,'Product Master'!A:B,2,0)</f>
        <v>197.01500000000001</v>
      </c>
      <c r="H9" s="6">
        <f t="shared" si="1"/>
        <v>4137.3150000000005</v>
      </c>
    </row>
    <row r="10" spans="1:8" x14ac:dyDescent="0.25">
      <c r="A10" s="2" t="s">
        <v>13</v>
      </c>
      <c r="B10" s="15" t="s">
        <v>53</v>
      </c>
      <c r="C10" s="5">
        <v>44562</v>
      </c>
      <c r="D10" s="2">
        <v>37</v>
      </c>
      <c r="E10">
        <f>VLOOKUP(A10,'Product Master'!A:C,3,0)</f>
        <v>136.63999999999999</v>
      </c>
      <c r="F10">
        <f t="shared" si="0"/>
        <v>5055.6799999999994</v>
      </c>
      <c r="G10" s="6">
        <f>VLOOKUP(A10,'Product Master'!A:B,2,0)</f>
        <v>88.815999999999988</v>
      </c>
      <c r="H10" s="6">
        <f t="shared" si="1"/>
        <v>3286.1919999999996</v>
      </c>
    </row>
    <row r="11" spans="1:8" x14ac:dyDescent="0.25">
      <c r="A11" s="2" t="s">
        <v>14</v>
      </c>
      <c r="B11" s="15" t="s">
        <v>53</v>
      </c>
      <c r="C11" s="5">
        <v>44562</v>
      </c>
      <c r="D11" s="2">
        <v>48</v>
      </c>
      <c r="E11">
        <f>VLOOKUP(A11,'Product Master'!A:C,3,0)</f>
        <v>138.91999999999999</v>
      </c>
      <c r="F11">
        <f t="shared" si="0"/>
        <v>6668.16</v>
      </c>
      <c r="G11" s="6">
        <f>VLOOKUP(A11,'Product Master'!A:B,2,0)</f>
        <v>70.849199999999996</v>
      </c>
      <c r="H11" s="6">
        <f t="shared" si="1"/>
        <v>3400.7615999999998</v>
      </c>
    </row>
    <row r="12" spans="1:8" x14ac:dyDescent="0.25">
      <c r="A12" s="2" t="s">
        <v>15</v>
      </c>
      <c r="B12" s="15" t="s">
        <v>53</v>
      </c>
      <c r="C12" s="5">
        <v>44562</v>
      </c>
      <c r="D12" s="2">
        <v>33</v>
      </c>
      <c r="E12">
        <f>VLOOKUP(A12,'Product Master'!A:C,3,0)</f>
        <v>276.07</v>
      </c>
      <c r="F12">
        <f t="shared" si="0"/>
        <v>9110.31</v>
      </c>
      <c r="G12" s="6">
        <f>VLOOKUP(A12,'Product Master'!A:B,2,0)</f>
        <v>140.79570000000001</v>
      </c>
      <c r="H12" s="6">
        <f t="shared" si="1"/>
        <v>4646.2581</v>
      </c>
    </row>
    <row r="13" spans="1:8" x14ac:dyDescent="0.25">
      <c r="A13" s="2" t="s">
        <v>16</v>
      </c>
      <c r="B13" s="15" t="s">
        <v>53</v>
      </c>
      <c r="C13" s="5">
        <v>44562</v>
      </c>
      <c r="D13" s="2">
        <v>39</v>
      </c>
      <c r="E13">
        <f>VLOOKUP(A13,'Product Master'!A:C,3,0)</f>
        <v>402.82</v>
      </c>
      <c r="F13">
        <f t="shared" si="0"/>
        <v>15709.98</v>
      </c>
      <c r="G13" s="6">
        <f>VLOOKUP(A13,'Product Master'!A:B,2,0)</f>
        <v>257.8048</v>
      </c>
      <c r="H13" s="6">
        <f t="shared" si="1"/>
        <v>10054.387199999999</v>
      </c>
    </row>
    <row r="14" spans="1:8" x14ac:dyDescent="0.25">
      <c r="A14" s="2" t="s">
        <v>17</v>
      </c>
      <c r="B14" s="15" t="s">
        <v>53</v>
      </c>
      <c r="C14" s="5">
        <v>44562</v>
      </c>
      <c r="D14" s="2">
        <v>49</v>
      </c>
      <c r="E14">
        <f>VLOOKUP(A14,'Product Master'!A:C,3,0)</f>
        <v>228.26</v>
      </c>
      <c r="F14">
        <f t="shared" si="0"/>
        <v>11184.74</v>
      </c>
      <c r="G14" s="6">
        <f>VLOOKUP(A14,'Product Master'!A:B,2,0)</f>
        <v>91.304000000000002</v>
      </c>
      <c r="H14" s="6">
        <f t="shared" si="1"/>
        <v>4473.8959999999997</v>
      </c>
    </row>
    <row r="15" spans="1:8" x14ac:dyDescent="0.25">
      <c r="A15" s="2" t="s">
        <v>18</v>
      </c>
      <c r="B15" s="15" t="s">
        <v>53</v>
      </c>
      <c r="C15" s="5">
        <v>44562</v>
      </c>
      <c r="D15" s="2">
        <v>20</v>
      </c>
      <c r="E15">
        <f>VLOOKUP(A15,'Product Master'!A:C,3,0)</f>
        <v>113.94</v>
      </c>
      <c r="F15">
        <f t="shared" si="0"/>
        <v>2278.8000000000002</v>
      </c>
      <c r="G15" s="6">
        <f>VLOOKUP(A15,'Product Master'!A:B,2,0)</f>
        <v>79.757999999999996</v>
      </c>
      <c r="H15" s="6">
        <f t="shared" si="1"/>
        <v>1595.1599999999999</v>
      </c>
    </row>
    <row r="16" spans="1:8" x14ac:dyDescent="0.25">
      <c r="A16" s="2" t="s">
        <v>19</v>
      </c>
      <c r="B16" s="15" t="s">
        <v>53</v>
      </c>
      <c r="C16" s="5">
        <v>44562</v>
      </c>
      <c r="D16" s="2">
        <v>21</v>
      </c>
      <c r="E16">
        <f>VLOOKUP(A16,'Product Master'!A:C,3,0)</f>
        <v>130.72</v>
      </c>
      <c r="F16">
        <f t="shared" si="0"/>
        <v>2745.12</v>
      </c>
      <c r="G16" s="6">
        <f>VLOOKUP(A16,'Product Master'!A:B,2,0)</f>
        <v>69.281599999999997</v>
      </c>
      <c r="H16" s="6">
        <f t="shared" si="1"/>
        <v>1454.9135999999999</v>
      </c>
    </row>
    <row r="17" spans="1:8" x14ac:dyDescent="0.25">
      <c r="A17" s="2" t="s">
        <v>20</v>
      </c>
      <c r="B17" s="15" t="s">
        <v>53</v>
      </c>
      <c r="C17" s="5">
        <v>44562</v>
      </c>
      <c r="D17" s="2">
        <v>49</v>
      </c>
      <c r="E17">
        <f>VLOOKUP(A17,'Product Master'!A:C,3,0)</f>
        <v>279.42</v>
      </c>
      <c r="F17">
        <f t="shared" si="0"/>
        <v>13691.58</v>
      </c>
      <c r="G17" s="6">
        <f>VLOOKUP(A17,'Product Master'!A:B,2,0)</f>
        <v>181.62300000000002</v>
      </c>
      <c r="H17" s="6">
        <f t="shared" si="1"/>
        <v>8899.527</v>
      </c>
    </row>
    <row r="18" spans="1:8" x14ac:dyDescent="0.25">
      <c r="A18" s="2" t="s">
        <v>21</v>
      </c>
      <c r="B18" s="15" t="s">
        <v>53</v>
      </c>
      <c r="C18" s="5">
        <v>44562</v>
      </c>
      <c r="D18" s="2">
        <v>28</v>
      </c>
      <c r="E18">
        <f>VLOOKUP(A18,'Product Master'!A:C,3,0)</f>
        <v>334.67</v>
      </c>
      <c r="F18">
        <f t="shared" si="0"/>
        <v>9370.76</v>
      </c>
      <c r="G18" s="6">
        <f>VLOOKUP(A18,'Product Master'!A:B,2,0)</f>
        <v>180.72180000000003</v>
      </c>
      <c r="H18" s="6">
        <f t="shared" si="1"/>
        <v>5060.2104000000008</v>
      </c>
    </row>
    <row r="19" spans="1:8" x14ac:dyDescent="0.25">
      <c r="A19" s="2" t="s">
        <v>22</v>
      </c>
      <c r="B19" s="15" t="s">
        <v>53</v>
      </c>
      <c r="C19" s="5">
        <v>44562</v>
      </c>
      <c r="D19" s="2">
        <v>34</v>
      </c>
      <c r="E19">
        <f>VLOOKUP(A19,'Product Master'!A:C,3,0)</f>
        <v>476.86</v>
      </c>
      <c r="F19">
        <f t="shared" si="0"/>
        <v>16213.24</v>
      </c>
      <c r="G19" s="6">
        <f>VLOOKUP(A19,'Product Master'!A:B,2,0)</f>
        <v>233.66140000000001</v>
      </c>
      <c r="H19" s="6">
        <f t="shared" si="1"/>
        <v>7944.4876000000004</v>
      </c>
    </row>
    <row r="20" spans="1:8" x14ac:dyDescent="0.25">
      <c r="A20" s="2" t="s">
        <v>23</v>
      </c>
      <c r="B20" s="15" t="s">
        <v>53</v>
      </c>
      <c r="C20" s="5">
        <v>44562</v>
      </c>
      <c r="D20" s="2">
        <v>31</v>
      </c>
      <c r="E20">
        <f>VLOOKUP(A20,'Product Master'!A:C,3,0)</f>
        <v>442.31</v>
      </c>
      <c r="F20">
        <f t="shared" si="0"/>
        <v>13711.61</v>
      </c>
      <c r="G20" s="6">
        <f>VLOOKUP(A20,'Product Master'!A:B,2,0)</f>
        <v>260.96289999999999</v>
      </c>
      <c r="H20" s="6">
        <f t="shared" si="1"/>
        <v>8089.8498999999993</v>
      </c>
    </row>
    <row r="21" spans="1:8" x14ac:dyDescent="0.25">
      <c r="A21" s="2" t="s">
        <v>24</v>
      </c>
      <c r="B21" s="15" t="s">
        <v>53</v>
      </c>
      <c r="C21" s="5">
        <v>44562</v>
      </c>
      <c r="D21" s="2">
        <v>48</v>
      </c>
      <c r="E21">
        <f>VLOOKUP(A21,'Product Master'!A:C,3,0)</f>
        <v>127.68</v>
      </c>
      <c r="F21">
        <f t="shared" si="0"/>
        <v>6128.64</v>
      </c>
      <c r="G21" s="6">
        <f>VLOOKUP(A21,'Product Master'!A:B,2,0)</f>
        <v>84.268800000000013</v>
      </c>
      <c r="H21" s="6">
        <f t="shared" si="1"/>
        <v>4044.9024000000009</v>
      </c>
    </row>
    <row r="22" spans="1:8" x14ac:dyDescent="0.25">
      <c r="A22" s="2" t="s">
        <v>25</v>
      </c>
      <c r="B22" s="15" t="s">
        <v>53</v>
      </c>
      <c r="C22" s="5">
        <v>44562</v>
      </c>
      <c r="D22" s="2">
        <v>42</v>
      </c>
      <c r="E22">
        <f>VLOOKUP(A22,'Product Master'!A:C,3,0)</f>
        <v>237.45</v>
      </c>
      <c r="F22">
        <f t="shared" si="0"/>
        <v>9972.9</v>
      </c>
      <c r="G22" s="6">
        <f>VLOOKUP(A22,'Product Master'!A:B,2,0)</f>
        <v>137.72099999999998</v>
      </c>
      <c r="H22" s="6">
        <f t="shared" si="1"/>
        <v>5784.2819999999992</v>
      </c>
    </row>
    <row r="23" spans="1:8" x14ac:dyDescent="0.25">
      <c r="A23" s="2" t="s">
        <v>26</v>
      </c>
      <c r="B23" s="15" t="s">
        <v>53</v>
      </c>
      <c r="C23" s="5">
        <v>44562</v>
      </c>
      <c r="D23" s="2">
        <v>31</v>
      </c>
      <c r="E23">
        <f>VLOOKUP(A23,'Product Master'!A:C,3,0)</f>
        <v>462.51</v>
      </c>
      <c r="F23">
        <f t="shared" si="0"/>
        <v>14337.81</v>
      </c>
      <c r="G23" s="6">
        <f>VLOOKUP(A23,'Product Master'!A:B,2,0)</f>
        <v>235.8801</v>
      </c>
      <c r="H23" s="6">
        <f t="shared" si="1"/>
        <v>7312.2830999999996</v>
      </c>
    </row>
    <row r="24" spans="1:8" x14ac:dyDescent="0.25">
      <c r="A24" s="2" t="s">
        <v>27</v>
      </c>
      <c r="B24" s="15" t="s">
        <v>53</v>
      </c>
      <c r="C24" s="5">
        <v>44562</v>
      </c>
      <c r="D24" s="2">
        <v>29</v>
      </c>
      <c r="E24">
        <f>VLOOKUP(A24,'Product Master'!A:C,3,0)</f>
        <v>452.54</v>
      </c>
      <c r="F24">
        <f t="shared" si="0"/>
        <v>13123.66</v>
      </c>
      <c r="G24" s="6">
        <f>VLOOKUP(A24,'Product Master'!A:B,2,0)</f>
        <v>307.72720000000004</v>
      </c>
      <c r="H24" s="6">
        <f t="shared" si="1"/>
        <v>8924.0888000000014</v>
      </c>
    </row>
    <row r="25" spans="1:8" x14ac:dyDescent="0.25">
      <c r="A25" s="2" t="s">
        <v>28</v>
      </c>
      <c r="B25" s="15" t="s">
        <v>53</v>
      </c>
      <c r="C25" s="5">
        <v>44562</v>
      </c>
      <c r="D25" s="2">
        <v>34</v>
      </c>
      <c r="E25">
        <f>VLOOKUP(A25,'Product Master'!A:C,3,0)</f>
        <v>463.88</v>
      </c>
      <c r="F25">
        <f t="shared" si="0"/>
        <v>15771.92</v>
      </c>
      <c r="G25" s="6">
        <f>VLOOKUP(A25,'Product Master'!A:B,2,0)</f>
        <v>264.41159999999996</v>
      </c>
      <c r="H25" s="6">
        <f t="shared" si="1"/>
        <v>8989.9943999999996</v>
      </c>
    </row>
    <row r="26" spans="1:8" x14ac:dyDescent="0.25">
      <c r="A26" s="2" t="s">
        <v>29</v>
      </c>
      <c r="B26" s="15" t="s">
        <v>53</v>
      </c>
      <c r="C26" s="5">
        <v>44562</v>
      </c>
      <c r="D26" s="2">
        <v>20</v>
      </c>
      <c r="E26">
        <f>VLOOKUP(A26,'Product Master'!A:C,3,0)</f>
        <v>198.42</v>
      </c>
      <c r="F26">
        <f t="shared" si="0"/>
        <v>3968.3999999999996</v>
      </c>
      <c r="G26" s="6">
        <f>VLOOKUP(A26,'Product Master'!A:B,2,0)</f>
        <v>95.241599999999991</v>
      </c>
      <c r="H26" s="6">
        <f t="shared" si="1"/>
        <v>1904.8319999999999</v>
      </c>
    </row>
    <row r="27" spans="1:8" x14ac:dyDescent="0.25">
      <c r="A27" s="2" t="s">
        <v>30</v>
      </c>
      <c r="B27" s="15" t="s">
        <v>53</v>
      </c>
      <c r="C27" s="5">
        <v>44562</v>
      </c>
      <c r="D27" s="2">
        <v>34</v>
      </c>
      <c r="E27">
        <f>VLOOKUP(A27,'Product Master'!A:C,3,0)</f>
        <v>270.08999999999997</v>
      </c>
      <c r="F27">
        <f t="shared" si="0"/>
        <v>9183.06</v>
      </c>
      <c r="G27" s="6">
        <f>VLOOKUP(A27,'Product Master'!A:B,2,0)</f>
        <v>172.85759999999999</v>
      </c>
      <c r="H27" s="6">
        <f t="shared" si="1"/>
        <v>5877.1583999999993</v>
      </c>
    </row>
    <row r="28" spans="1:8" x14ac:dyDescent="0.25">
      <c r="A28" s="2" t="s">
        <v>31</v>
      </c>
      <c r="B28" s="15" t="s">
        <v>53</v>
      </c>
      <c r="C28" s="5">
        <v>44562</v>
      </c>
      <c r="D28" s="2">
        <v>42</v>
      </c>
      <c r="E28">
        <f>VLOOKUP(A28,'Product Master'!A:C,3,0)</f>
        <v>145.29</v>
      </c>
      <c r="F28">
        <f t="shared" si="0"/>
        <v>6102.1799999999994</v>
      </c>
      <c r="G28" s="6">
        <f>VLOOKUP(A28,'Product Master'!A:B,2,0)</f>
        <v>72.644999999999996</v>
      </c>
      <c r="H28" s="6">
        <f t="shared" si="1"/>
        <v>3051.0899999999997</v>
      </c>
    </row>
    <row r="29" spans="1:8" x14ac:dyDescent="0.25">
      <c r="A29" s="2" t="s">
        <v>32</v>
      </c>
      <c r="B29" s="15" t="s">
        <v>53</v>
      </c>
      <c r="C29" s="5">
        <v>44562</v>
      </c>
      <c r="D29" s="2">
        <v>36</v>
      </c>
      <c r="E29">
        <f>VLOOKUP(A29,'Product Master'!A:C,3,0)</f>
        <v>411.11</v>
      </c>
      <c r="F29">
        <f t="shared" si="0"/>
        <v>14799.960000000001</v>
      </c>
      <c r="G29" s="6">
        <f>VLOOKUP(A29,'Product Master'!A:B,2,0)</f>
        <v>221.99940000000001</v>
      </c>
      <c r="H29" s="6">
        <f t="shared" si="1"/>
        <v>7991.9784</v>
      </c>
    </row>
    <row r="30" spans="1:8" x14ac:dyDescent="0.25">
      <c r="A30" s="2" t="s">
        <v>33</v>
      </c>
      <c r="B30" s="15" t="s">
        <v>53</v>
      </c>
      <c r="C30" s="5">
        <v>44562</v>
      </c>
      <c r="D30" s="2">
        <v>40</v>
      </c>
      <c r="E30">
        <f>VLOOKUP(A30,'Product Master'!A:C,3,0)</f>
        <v>399.8</v>
      </c>
      <c r="F30">
        <f t="shared" si="0"/>
        <v>15992</v>
      </c>
      <c r="G30" s="6">
        <f>VLOOKUP(A30,'Product Master'!A:B,2,0)</f>
        <v>215.89200000000002</v>
      </c>
      <c r="H30" s="6">
        <f t="shared" si="1"/>
        <v>8635.68</v>
      </c>
    </row>
    <row r="31" spans="1:8" x14ac:dyDescent="0.25">
      <c r="A31" s="2" t="s">
        <v>34</v>
      </c>
      <c r="B31" s="15" t="s">
        <v>53</v>
      </c>
      <c r="C31" s="5">
        <v>44562</v>
      </c>
      <c r="D31" s="2">
        <v>32</v>
      </c>
      <c r="E31">
        <f>VLOOKUP(A31,'Product Master'!A:C,3,0)</f>
        <v>299.62</v>
      </c>
      <c r="F31">
        <f t="shared" si="0"/>
        <v>9587.84</v>
      </c>
      <c r="G31" s="6">
        <f>VLOOKUP(A31,'Product Master'!A:B,2,0)</f>
        <v>134.82900000000001</v>
      </c>
      <c r="H31" s="6">
        <f t="shared" si="1"/>
        <v>4314.5280000000002</v>
      </c>
    </row>
    <row r="32" spans="1:8" x14ac:dyDescent="0.25">
      <c r="A32" s="2" t="s">
        <v>35</v>
      </c>
      <c r="B32" s="15" t="s">
        <v>53</v>
      </c>
      <c r="C32" s="5">
        <v>44562</v>
      </c>
      <c r="D32" s="2">
        <v>44</v>
      </c>
      <c r="E32">
        <f>VLOOKUP(A32,'Product Master'!A:C,3,0)</f>
        <v>284.56</v>
      </c>
      <c r="F32">
        <f t="shared" si="0"/>
        <v>12520.64</v>
      </c>
      <c r="G32" s="6">
        <f>VLOOKUP(A32,'Product Master'!A:B,2,0)</f>
        <v>187.80960000000002</v>
      </c>
      <c r="H32" s="6">
        <f t="shared" si="1"/>
        <v>8263.6224000000002</v>
      </c>
    </row>
    <row r="33" spans="1:8" x14ac:dyDescent="0.25">
      <c r="A33" s="2" t="s">
        <v>36</v>
      </c>
      <c r="B33" s="15" t="s">
        <v>53</v>
      </c>
      <c r="C33" s="5">
        <v>44562</v>
      </c>
      <c r="D33" s="2">
        <v>39</v>
      </c>
      <c r="E33">
        <f>VLOOKUP(A33,'Product Master'!A:C,3,0)</f>
        <v>229.92</v>
      </c>
      <c r="F33">
        <f t="shared" si="0"/>
        <v>8966.8799999999992</v>
      </c>
      <c r="G33" s="6">
        <f>VLOOKUP(A33,'Product Master'!A:B,2,0)</f>
        <v>110.3616</v>
      </c>
      <c r="H33" s="6">
        <f t="shared" si="1"/>
        <v>4304.1023999999998</v>
      </c>
    </row>
    <row r="34" spans="1:8" x14ac:dyDescent="0.25">
      <c r="A34" s="2" t="s">
        <v>37</v>
      </c>
      <c r="B34" s="15" t="s">
        <v>53</v>
      </c>
      <c r="C34" s="5">
        <v>44562</v>
      </c>
      <c r="D34" s="2">
        <v>20</v>
      </c>
      <c r="E34">
        <f>VLOOKUP(A34,'Product Master'!A:C,3,0)</f>
        <v>388.07</v>
      </c>
      <c r="F34">
        <f t="shared" si="0"/>
        <v>7761.4</v>
      </c>
      <c r="G34" s="6">
        <f>VLOOKUP(A34,'Product Master'!A:B,2,0)</f>
        <v>186.27359999999999</v>
      </c>
      <c r="H34" s="6">
        <f t="shared" si="1"/>
        <v>3725.4719999999998</v>
      </c>
    </row>
    <row r="35" spans="1:8" x14ac:dyDescent="0.25">
      <c r="A35" s="2" t="s">
        <v>38</v>
      </c>
      <c r="B35" s="15" t="s">
        <v>53</v>
      </c>
      <c r="C35" s="5">
        <v>44562</v>
      </c>
      <c r="D35" s="2">
        <v>30</v>
      </c>
      <c r="E35">
        <f>VLOOKUP(A35,'Product Master'!A:C,3,0)</f>
        <v>126.35</v>
      </c>
      <c r="F35">
        <f t="shared" si="0"/>
        <v>3790.5</v>
      </c>
      <c r="G35" s="6">
        <f>VLOOKUP(A35,'Product Master'!A:B,2,0)</f>
        <v>66.965500000000006</v>
      </c>
      <c r="H35" s="6">
        <f t="shared" si="1"/>
        <v>2008.9650000000001</v>
      </c>
    </row>
    <row r="36" spans="1:8" x14ac:dyDescent="0.25">
      <c r="A36" s="2" t="s">
        <v>39</v>
      </c>
      <c r="B36" s="15" t="s">
        <v>53</v>
      </c>
      <c r="C36" s="5">
        <v>44562</v>
      </c>
      <c r="D36" s="2">
        <v>21</v>
      </c>
      <c r="E36">
        <f>VLOOKUP(A36,'Product Master'!A:C,3,0)</f>
        <v>208.57</v>
      </c>
      <c r="F36">
        <f t="shared" si="0"/>
        <v>4379.97</v>
      </c>
      <c r="G36" s="6">
        <f>VLOOKUP(A36,'Product Master'!A:B,2,0)</f>
        <v>98.027899999999988</v>
      </c>
      <c r="H36" s="6">
        <f t="shared" si="1"/>
        <v>2058.5858999999996</v>
      </c>
    </row>
    <row r="37" spans="1:8" x14ac:dyDescent="0.25">
      <c r="A37" s="2" t="s">
        <v>40</v>
      </c>
      <c r="B37" s="15" t="s">
        <v>53</v>
      </c>
      <c r="C37" s="5">
        <v>44562</v>
      </c>
      <c r="D37" s="2">
        <v>20</v>
      </c>
      <c r="E37">
        <f>VLOOKUP(A37,'Product Master'!A:C,3,0)</f>
        <v>471.54</v>
      </c>
      <c r="F37">
        <f t="shared" si="0"/>
        <v>9430.8000000000011</v>
      </c>
      <c r="G37" s="6">
        <f>VLOOKUP(A37,'Product Master'!A:B,2,0)</f>
        <v>320.64720000000005</v>
      </c>
      <c r="H37" s="6">
        <f t="shared" si="1"/>
        <v>6412.9440000000013</v>
      </c>
    </row>
    <row r="38" spans="1:8" x14ac:dyDescent="0.25">
      <c r="A38" s="2" t="s">
        <v>41</v>
      </c>
      <c r="B38" s="15" t="s">
        <v>53</v>
      </c>
      <c r="C38" s="5">
        <v>44562</v>
      </c>
      <c r="D38" s="2">
        <v>40</v>
      </c>
      <c r="E38">
        <f>VLOOKUP(A38,'Product Master'!A:C,3,0)</f>
        <v>334.9</v>
      </c>
      <c r="F38">
        <f t="shared" si="0"/>
        <v>13396</v>
      </c>
      <c r="G38" s="6">
        <f>VLOOKUP(A38,'Product Master'!A:B,2,0)</f>
        <v>184.19499999999999</v>
      </c>
      <c r="H38" s="6">
        <f t="shared" si="1"/>
        <v>7367.7999999999993</v>
      </c>
    </row>
    <row r="39" spans="1:8" x14ac:dyDescent="0.25">
      <c r="A39" s="2" t="s">
        <v>42</v>
      </c>
      <c r="B39" s="15" t="s">
        <v>53</v>
      </c>
      <c r="C39" s="5">
        <v>44562</v>
      </c>
      <c r="D39" s="2">
        <v>24</v>
      </c>
      <c r="E39">
        <f>VLOOKUP(A39,'Product Master'!A:C,3,0)</f>
        <v>180.57</v>
      </c>
      <c r="F39">
        <f t="shared" si="0"/>
        <v>4333.68</v>
      </c>
      <c r="G39" s="6">
        <f>VLOOKUP(A39,'Product Master'!A:B,2,0)</f>
        <v>99.313500000000005</v>
      </c>
      <c r="H39" s="6">
        <f t="shared" si="1"/>
        <v>2383.5240000000003</v>
      </c>
    </row>
    <row r="40" spans="1:8" x14ac:dyDescent="0.25">
      <c r="A40" s="2" t="s">
        <v>43</v>
      </c>
      <c r="B40" s="15" t="s">
        <v>53</v>
      </c>
      <c r="C40" s="5">
        <v>44562</v>
      </c>
      <c r="D40" s="2">
        <v>28</v>
      </c>
      <c r="E40">
        <f>VLOOKUP(A40,'Product Master'!A:C,3,0)</f>
        <v>102.24</v>
      </c>
      <c r="F40">
        <f t="shared" si="0"/>
        <v>2862.72</v>
      </c>
      <c r="G40" s="6">
        <f>VLOOKUP(A40,'Product Master'!A:B,2,0)</f>
        <v>67.478399999999993</v>
      </c>
      <c r="H40" s="6">
        <f t="shared" si="1"/>
        <v>1889.3951999999999</v>
      </c>
    </row>
    <row r="41" spans="1:8" x14ac:dyDescent="0.25">
      <c r="A41" s="2" t="s">
        <v>44</v>
      </c>
      <c r="B41" s="15" t="s">
        <v>53</v>
      </c>
      <c r="C41" s="5">
        <v>44562</v>
      </c>
      <c r="D41" s="2">
        <v>39</v>
      </c>
      <c r="E41">
        <f>VLOOKUP(A41,'Product Master'!A:C,3,0)</f>
        <v>198.6</v>
      </c>
      <c r="F41">
        <f t="shared" si="0"/>
        <v>7745.4</v>
      </c>
      <c r="G41" s="6">
        <f>VLOOKUP(A41,'Product Master'!A:B,2,0)</f>
        <v>121.146</v>
      </c>
      <c r="H41" s="6">
        <f t="shared" si="1"/>
        <v>4724.6940000000004</v>
      </c>
    </row>
    <row r="42" spans="1:8" x14ac:dyDescent="0.25">
      <c r="A42" s="2" t="s">
        <v>45</v>
      </c>
      <c r="B42" s="15" t="s">
        <v>53</v>
      </c>
      <c r="C42" s="5">
        <v>44562</v>
      </c>
      <c r="D42" s="2">
        <v>48</v>
      </c>
      <c r="E42">
        <f>VLOOKUP(A42,'Product Master'!A:C,3,0)</f>
        <v>350.83</v>
      </c>
      <c r="F42">
        <f t="shared" si="0"/>
        <v>16839.84</v>
      </c>
      <c r="G42" s="6">
        <f>VLOOKUP(A42,'Product Master'!A:B,2,0)</f>
        <v>168.39839999999998</v>
      </c>
      <c r="H42" s="6">
        <f t="shared" si="1"/>
        <v>8083.1231999999991</v>
      </c>
    </row>
    <row r="43" spans="1:8" x14ac:dyDescent="0.25">
      <c r="A43" s="2" t="s">
        <v>46</v>
      </c>
      <c r="B43" s="15" t="s">
        <v>53</v>
      </c>
      <c r="C43" s="5">
        <v>44562</v>
      </c>
      <c r="D43" s="2">
        <v>39</v>
      </c>
      <c r="E43">
        <f>VLOOKUP(A43,'Product Master'!A:C,3,0)</f>
        <v>337.38</v>
      </c>
      <c r="F43">
        <f t="shared" si="0"/>
        <v>13157.82</v>
      </c>
      <c r="G43" s="6">
        <f>VLOOKUP(A43,'Product Master'!A:B,2,0)</f>
        <v>222.67080000000001</v>
      </c>
      <c r="H43" s="6">
        <f t="shared" si="1"/>
        <v>8684.1612000000005</v>
      </c>
    </row>
    <row r="44" spans="1:8" x14ac:dyDescent="0.25">
      <c r="A44" s="15" t="s">
        <v>32</v>
      </c>
      <c r="B44" s="15" t="s">
        <v>65</v>
      </c>
      <c r="C44" s="5">
        <v>45135</v>
      </c>
      <c r="D44" s="2">
        <v>45</v>
      </c>
      <c r="E44">
        <f>VLOOKUP(A44,'Product Master'!A:C,3,0)</f>
        <v>411.11</v>
      </c>
      <c r="F44">
        <f t="shared" si="0"/>
        <v>18499.95</v>
      </c>
      <c r="G44" s="6">
        <f>VLOOKUP(A44,'Product Master'!A:B,2,0)</f>
        <v>221.99940000000001</v>
      </c>
      <c r="H44" s="6">
        <f t="shared" si="1"/>
        <v>9989.973</v>
      </c>
    </row>
    <row r="45" spans="1:8" x14ac:dyDescent="0.25">
      <c r="A45" s="15" t="s">
        <v>9</v>
      </c>
      <c r="B45" s="15" t="s">
        <v>54</v>
      </c>
      <c r="C45" s="5">
        <v>45135</v>
      </c>
      <c r="D45" s="2">
        <v>60</v>
      </c>
      <c r="E45">
        <f>VLOOKUP(A45,'Product Master'!A:C,3,0)</f>
        <v>180.14</v>
      </c>
      <c r="F45">
        <f t="shared" si="0"/>
        <v>10808.4</v>
      </c>
      <c r="G45" s="6">
        <f>VLOOKUP(A45,'Product Master'!A:B,2,0)</f>
        <v>118.89239999999999</v>
      </c>
      <c r="H45" s="6">
        <f t="shared" si="1"/>
        <v>7133.5439999999999</v>
      </c>
    </row>
    <row r="46" spans="1:8" x14ac:dyDescent="0.25">
      <c r="A46" s="15" t="s">
        <v>13</v>
      </c>
      <c r="B46" s="15" t="s">
        <v>54</v>
      </c>
      <c r="C46" s="5">
        <v>45135</v>
      </c>
      <c r="D46" s="2">
        <v>37</v>
      </c>
      <c r="E46">
        <f>VLOOKUP(A46,'Product Master'!A:C,3,0)</f>
        <v>136.63999999999999</v>
      </c>
      <c r="F46">
        <f t="shared" si="0"/>
        <v>5055.6799999999994</v>
      </c>
      <c r="G46" s="6">
        <f>VLOOKUP(A46,'Product Master'!A:B,2,0)</f>
        <v>88.815999999999988</v>
      </c>
      <c r="H46" s="6">
        <f t="shared" si="1"/>
        <v>3286.1919999999996</v>
      </c>
    </row>
    <row r="47" spans="1:8" x14ac:dyDescent="0.25">
      <c r="A47" s="15" t="s">
        <v>13</v>
      </c>
      <c r="B47" s="15" t="s">
        <v>54</v>
      </c>
      <c r="C47" s="5">
        <v>45135</v>
      </c>
      <c r="D47" s="2">
        <v>74</v>
      </c>
      <c r="E47">
        <f>VLOOKUP(A47,'Product Master'!A:C,3,0)</f>
        <v>136.63999999999999</v>
      </c>
      <c r="F47">
        <f t="shared" si="0"/>
        <v>10111.359999999999</v>
      </c>
      <c r="G47" s="6">
        <f>VLOOKUP(A47,'Product Master'!A:B,2,0)</f>
        <v>88.815999999999988</v>
      </c>
      <c r="H47" s="6">
        <f t="shared" si="1"/>
        <v>6572.3839999999991</v>
      </c>
    </row>
    <row r="48" spans="1:8" x14ac:dyDescent="0.25">
      <c r="A48" s="15" t="s">
        <v>13</v>
      </c>
      <c r="B48" s="15" t="s">
        <v>55</v>
      </c>
      <c r="C48" s="5">
        <v>45135</v>
      </c>
      <c r="D48" s="2">
        <v>148</v>
      </c>
      <c r="E48">
        <f>VLOOKUP(A48,'Product Master'!A:C,3,0)</f>
        <v>136.63999999999999</v>
      </c>
      <c r="F48">
        <f t="shared" si="0"/>
        <v>20222.719999999998</v>
      </c>
      <c r="G48" s="6">
        <f>VLOOKUP(A48,'Product Master'!A:B,2,0)</f>
        <v>88.815999999999988</v>
      </c>
      <c r="H48" s="6">
        <f t="shared" si="1"/>
        <v>13144.767999999998</v>
      </c>
    </row>
    <row r="49" spans="1:8" x14ac:dyDescent="0.25">
      <c r="A49" s="15" t="s">
        <v>13</v>
      </c>
      <c r="B49" s="15" t="s">
        <v>54</v>
      </c>
      <c r="C49" s="5">
        <v>45135</v>
      </c>
      <c r="D49" s="2">
        <v>2</v>
      </c>
      <c r="E49">
        <f>VLOOKUP(A49,'Product Master'!A:C,3,0)</f>
        <v>136.63999999999999</v>
      </c>
      <c r="F49">
        <f t="shared" si="0"/>
        <v>273.27999999999997</v>
      </c>
      <c r="G49" s="6">
        <f>VLOOKUP(A49,'Product Master'!A:B,2,0)</f>
        <v>88.815999999999988</v>
      </c>
      <c r="H49" s="6">
        <f t="shared" si="1"/>
        <v>177.63199999999998</v>
      </c>
    </row>
    <row r="50" spans="1:8" x14ac:dyDescent="0.25">
      <c r="A50" s="15" t="s">
        <v>44</v>
      </c>
      <c r="B50" s="15" t="s">
        <v>54</v>
      </c>
      <c r="C50" s="5">
        <v>45135</v>
      </c>
      <c r="D50" s="2">
        <v>20</v>
      </c>
      <c r="E50">
        <f>VLOOKUP(A50,'Product Master'!A:C,3,0)</f>
        <v>198.6</v>
      </c>
      <c r="F50">
        <f t="shared" si="0"/>
        <v>3972</v>
      </c>
      <c r="G50" s="6">
        <f>VLOOKUP(A50,'Product Master'!A:B,2,0)</f>
        <v>121.146</v>
      </c>
      <c r="H50" s="6">
        <f t="shared" si="1"/>
        <v>2422.92</v>
      </c>
    </row>
    <row r="51" spans="1:8" x14ac:dyDescent="0.25">
      <c r="A51" s="15" t="s">
        <v>12</v>
      </c>
      <c r="B51" s="15" t="s">
        <v>54</v>
      </c>
      <c r="C51" s="5">
        <v>45135</v>
      </c>
      <c r="D51" s="2">
        <v>13</v>
      </c>
      <c r="E51">
        <f>VLOOKUP(A51,'Product Master'!A:C,3,0)</f>
        <v>303.10000000000002</v>
      </c>
      <c r="F51">
        <f t="shared" si="0"/>
        <v>3940.3</v>
      </c>
      <c r="G51" s="6">
        <f>VLOOKUP(A51,'Product Master'!A:B,2,0)</f>
        <v>197.01500000000001</v>
      </c>
      <c r="H51" s="6">
        <f t="shared" si="1"/>
        <v>2561.1950000000002</v>
      </c>
    </row>
    <row r="52" spans="1:8" x14ac:dyDescent="0.25">
      <c r="D52" s="2"/>
      <c r="G52" s="6"/>
      <c r="H52" s="6"/>
    </row>
    <row r="53" spans="1:8" x14ac:dyDescent="0.25">
      <c r="D53" s="2"/>
      <c r="G53" s="6"/>
      <c r="H53" s="6"/>
    </row>
    <row r="54" spans="1:8" x14ac:dyDescent="0.25">
      <c r="D54" s="2"/>
      <c r="G54" s="6"/>
      <c r="H54" s="6"/>
    </row>
  </sheetData>
  <dataValidations count="1">
    <dataValidation type="list" allowBlank="1" showInputMessage="1" showErrorMessage="1" sqref="B1:B1048576">
      <formula1>"Opening Stock,In,Out"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43"/>
  <sheetViews>
    <sheetView topLeftCell="A24" workbookViewId="0">
      <selection activeCell="L3" sqref="L3"/>
    </sheetView>
  </sheetViews>
  <sheetFormatPr defaultRowHeight="15" x14ac:dyDescent="0.25"/>
  <cols>
    <col min="1" max="1" width="31.28515625" bestFit="1" customWidth="1"/>
    <col min="2" max="2" width="18.140625" customWidth="1"/>
    <col min="3" max="3" width="13.5703125" customWidth="1"/>
    <col min="4" max="4" width="11.5703125" customWidth="1"/>
    <col min="5" max="5" width="13.140625" customWidth="1"/>
    <col min="6" max="6" width="12.42578125" customWidth="1"/>
    <col min="7" max="7" width="13" customWidth="1"/>
    <col min="8" max="8" width="14" customWidth="1"/>
    <col min="9" max="9" width="14.42578125" customWidth="1"/>
    <col min="10" max="10" width="15.5703125" customWidth="1"/>
  </cols>
  <sheetData>
    <row r="1" spans="1:10" ht="25.5" x14ac:dyDescent="0.25">
      <c r="A1" s="7" t="s">
        <v>0</v>
      </c>
      <c r="B1" s="7" t="s">
        <v>53</v>
      </c>
      <c r="C1" s="7" t="s">
        <v>54</v>
      </c>
      <c r="D1" s="7" t="s">
        <v>55</v>
      </c>
      <c r="E1" s="7" t="s">
        <v>56</v>
      </c>
      <c r="F1" s="7" t="s">
        <v>57</v>
      </c>
      <c r="G1" s="7" t="s">
        <v>58</v>
      </c>
      <c r="H1" s="7" t="s">
        <v>59</v>
      </c>
      <c r="I1" s="8" t="s">
        <v>60</v>
      </c>
      <c r="J1" s="7" t="s">
        <v>3</v>
      </c>
    </row>
    <row r="2" spans="1:10" x14ac:dyDescent="0.25">
      <c r="A2" s="2" t="s">
        <v>5</v>
      </c>
      <c r="B2">
        <f>SUMIFS('Stock-In-Out'!D:D,'Stock-In-Out'!B:B,"Opening Stock",'Stock-In-Out'!A:A,A2)</f>
        <v>31</v>
      </c>
      <c r="C2">
        <f>SUMIFS('Stock-In-Out'!D:D,'Stock-In-Out'!B:B,"In",'Stock-In-Out'!A:A,A2)</f>
        <v>0</v>
      </c>
      <c r="D2">
        <f>SUMIFS('Stock-In-Out'!D:D,'Stock-In-Out'!B:B,"Out",'Stock-In-Out'!A:A,A2)</f>
        <v>0</v>
      </c>
      <c r="E2">
        <f>B2+C2-D2</f>
        <v>31</v>
      </c>
      <c r="F2">
        <f>VLOOKUP(A2,'Product Master'!A:C,3,0)*E2</f>
        <v>7299.88</v>
      </c>
      <c r="G2">
        <f>VLOOKUP(A2,'Product Master'!A:C,2,0)*E2</f>
        <v>4525.9256000000005</v>
      </c>
      <c r="H2">
        <f>VLOOKUP(A2,'Product Master'!A1:E43,5,0)</f>
        <v>6</v>
      </c>
      <c r="I2" t="str">
        <f>IF(H2&gt;=E2,"Yes","No")</f>
        <v>No</v>
      </c>
      <c r="J2">
        <f>VLOOKUP(A2,'Product Master'!A1:D43,4,0)</f>
        <v>15</v>
      </c>
    </row>
    <row r="3" spans="1:10" x14ac:dyDescent="0.25">
      <c r="A3" s="2" t="s">
        <v>6</v>
      </c>
      <c r="B3">
        <f>SUMIFS('Stock-In-Out'!D:D,'Stock-In-Out'!B:B,"Opening Stock",'Stock-In-Out'!A:A,A3)</f>
        <v>22</v>
      </c>
      <c r="C3">
        <f>SUMIFS('Stock-In-Out'!D:D,'Stock-In-Out'!B:B,"In",'Stock-In-Out'!A:A,A3)</f>
        <v>0</v>
      </c>
      <c r="D3">
        <f>SUMIFS('Stock-In-Out'!D:D,'Stock-In-Out'!B:B,"Out",'Stock-In-Out'!A:A,A3)</f>
        <v>0</v>
      </c>
      <c r="E3">
        <f t="shared" ref="E3:E43" si="0">B3+C3-D3</f>
        <v>22</v>
      </c>
      <c r="F3">
        <f>VLOOKUP(A3,'Product Master'!A:C,3,0)*E3</f>
        <v>9780.5399999999991</v>
      </c>
      <c r="G3">
        <f>VLOOKUP(A3,'Product Master'!A:C,2,0)*E3</f>
        <v>5868.3239999999987</v>
      </c>
      <c r="H3">
        <f>VLOOKUP(A3,'Product Master'!A2:E44,5,0)</f>
        <v>6</v>
      </c>
      <c r="I3" t="str">
        <f t="shared" ref="I3:I42" si="1">IF(H3&gt;=E3,"Yes","No")</f>
        <v>No</v>
      </c>
      <c r="J3">
        <f>VLOOKUP(A3,'Product Master'!A2:D44,4,0)</f>
        <v>3</v>
      </c>
    </row>
    <row r="4" spans="1:10" x14ac:dyDescent="0.25">
      <c r="A4" s="2" t="s">
        <v>7</v>
      </c>
      <c r="B4">
        <f>SUMIFS('Stock-In-Out'!D:D,'Stock-In-Out'!B:B,"Opening Stock",'Stock-In-Out'!A:A,A4)</f>
        <v>39</v>
      </c>
      <c r="C4">
        <f>SUMIFS('Stock-In-Out'!D:D,'Stock-In-Out'!B:B,"In",'Stock-In-Out'!A:A,A4)</f>
        <v>0</v>
      </c>
      <c r="D4">
        <f>SUMIFS('Stock-In-Out'!D:D,'Stock-In-Out'!B:B,"Out",'Stock-In-Out'!A:A,A4)</f>
        <v>0</v>
      </c>
      <c r="E4">
        <f t="shared" si="0"/>
        <v>39</v>
      </c>
      <c r="F4">
        <f>VLOOKUP(A4,'Product Master'!A:C,3,0)*E4</f>
        <v>17141.669999999998</v>
      </c>
      <c r="G4">
        <f>VLOOKUP(A4,'Product Master'!A:C,2,0)*E4</f>
        <v>11313.502199999999</v>
      </c>
      <c r="H4">
        <f>VLOOKUP(A4,'Product Master'!A3:E45,5,0)</f>
        <v>4</v>
      </c>
      <c r="I4" t="str">
        <f t="shared" si="1"/>
        <v>No</v>
      </c>
      <c r="J4">
        <f>VLOOKUP(A4,'Product Master'!A3:D45,4,0)</f>
        <v>2</v>
      </c>
    </row>
    <row r="5" spans="1:10" x14ac:dyDescent="0.25">
      <c r="A5" s="2" t="s">
        <v>8</v>
      </c>
      <c r="B5">
        <f>SUMIFS('Stock-In-Out'!D:D,'Stock-In-Out'!B:B,"Opening Stock",'Stock-In-Out'!A:A,A5)</f>
        <v>30</v>
      </c>
      <c r="C5">
        <f>SUMIFS('Stock-In-Out'!D:D,'Stock-In-Out'!B:B,"In",'Stock-In-Out'!A:A,A5)</f>
        <v>0</v>
      </c>
      <c r="D5">
        <f>SUMIFS('Stock-In-Out'!D:D,'Stock-In-Out'!B:B,"Out",'Stock-In-Out'!A:A,A5)</f>
        <v>0</v>
      </c>
      <c r="E5">
        <f t="shared" si="0"/>
        <v>30</v>
      </c>
      <c r="F5">
        <f>VLOOKUP(A5,'Product Master'!A:C,3,0)*E5</f>
        <v>8538</v>
      </c>
      <c r="G5">
        <f>VLOOKUP(A5,'Product Master'!A:C,2,0)*E5</f>
        <v>3415.2000000000007</v>
      </c>
      <c r="H5">
        <f>VLOOKUP(A5,'Product Master'!A4:E46,5,0)</f>
        <v>8</v>
      </c>
      <c r="I5" t="str">
        <f t="shared" si="1"/>
        <v>No</v>
      </c>
      <c r="J5">
        <f>VLOOKUP(A5,'Product Master'!A4:D46,4,0)</f>
        <v>1</v>
      </c>
    </row>
    <row r="6" spans="1:10" x14ac:dyDescent="0.25">
      <c r="A6" s="2" t="s">
        <v>9</v>
      </c>
      <c r="B6">
        <f>SUMIFS('Stock-In-Out'!D:D,'Stock-In-Out'!B:B,"Opening Stock",'Stock-In-Out'!A:A,A6)</f>
        <v>23</v>
      </c>
      <c r="C6">
        <f>SUMIFS('Stock-In-Out'!D:D,'Stock-In-Out'!B:B,"In",'Stock-In-Out'!A:A,A6)</f>
        <v>60</v>
      </c>
      <c r="D6">
        <f>SUMIFS('Stock-In-Out'!D:D,'Stock-In-Out'!B:B,"Out",'Stock-In-Out'!A:A,A6)</f>
        <v>0</v>
      </c>
      <c r="E6">
        <f t="shared" si="0"/>
        <v>83</v>
      </c>
      <c r="F6">
        <f>VLOOKUP(A6,'Product Master'!A:C,3,0)*E6</f>
        <v>14951.619999999999</v>
      </c>
      <c r="G6">
        <f>VLOOKUP(A6,'Product Master'!A:C,2,0)*E6</f>
        <v>9868.0691999999999</v>
      </c>
      <c r="H6">
        <f>VLOOKUP(A6,'Product Master'!A5:E47,5,0)</f>
        <v>4</v>
      </c>
      <c r="I6" t="str">
        <f t="shared" si="1"/>
        <v>No</v>
      </c>
      <c r="J6">
        <f>VLOOKUP(A6,'Product Master'!A5:D47,4,0)</f>
        <v>3</v>
      </c>
    </row>
    <row r="7" spans="1:10" x14ac:dyDescent="0.25">
      <c r="A7" s="2" t="s">
        <v>10</v>
      </c>
      <c r="B7">
        <f>SUMIFS('Stock-In-Out'!D:D,'Stock-In-Out'!B:B,"Opening Stock",'Stock-In-Out'!A:A,A7)</f>
        <v>40</v>
      </c>
      <c r="C7">
        <f>SUMIFS('Stock-In-Out'!D:D,'Stock-In-Out'!B:B,"In",'Stock-In-Out'!A:A,A7)</f>
        <v>0</v>
      </c>
      <c r="D7">
        <f>SUMIFS('Stock-In-Out'!D:D,'Stock-In-Out'!B:B,"Out",'Stock-In-Out'!A:A,A7)</f>
        <v>0</v>
      </c>
      <c r="E7">
        <f t="shared" si="0"/>
        <v>40</v>
      </c>
      <c r="F7">
        <f>VLOOKUP(A7,'Product Master'!A:C,3,0)*E7</f>
        <v>9608.4</v>
      </c>
      <c r="G7">
        <f>VLOOKUP(A7,'Product Master'!A:C,2,0)*E7</f>
        <v>5668.9559999999992</v>
      </c>
      <c r="H7">
        <f>VLOOKUP(A7,'Product Master'!A6:E48,5,0)</f>
        <v>6</v>
      </c>
      <c r="I7" t="str">
        <f t="shared" si="1"/>
        <v>No</v>
      </c>
      <c r="J7">
        <f>VLOOKUP(A7,'Product Master'!A6:D48,4,0)</f>
        <v>6</v>
      </c>
    </row>
    <row r="8" spans="1:10" x14ac:dyDescent="0.25">
      <c r="A8" s="2" t="s">
        <v>11</v>
      </c>
      <c r="B8">
        <f>SUMIFS('Stock-In-Out'!D:D,'Stock-In-Out'!B:B,"Opening Stock",'Stock-In-Out'!A:A,A8)</f>
        <v>39</v>
      </c>
      <c r="C8">
        <f>SUMIFS('Stock-In-Out'!D:D,'Stock-In-Out'!B:B,"In",'Stock-In-Out'!A:A,A8)</f>
        <v>0</v>
      </c>
      <c r="D8">
        <f>SUMIFS('Stock-In-Out'!D:D,'Stock-In-Out'!B:B,"Out",'Stock-In-Out'!A:A,A8)</f>
        <v>0</v>
      </c>
      <c r="E8">
        <f t="shared" si="0"/>
        <v>39</v>
      </c>
      <c r="F8">
        <f>VLOOKUP(A8,'Product Master'!A:C,3,0)*E8</f>
        <v>4990.4399999999996</v>
      </c>
      <c r="G8">
        <f>VLOOKUP(A8,'Product Master'!A:C,2,0)*E8</f>
        <v>1996.1759999999999</v>
      </c>
      <c r="H8">
        <f>VLOOKUP(A8,'Product Master'!A7:E49,5,0)</f>
        <v>8</v>
      </c>
      <c r="I8" t="str">
        <f t="shared" si="1"/>
        <v>No</v>
      </c>
      <c r="J8">
        <f>VLOOKUP(A8,'Product Master'!A7:D49,4,0)</f>
        <v>15</v>
      </c>
    </row>
    <row r="9" spans="1:10" x14ac:dyDescent="0.25">
      <c r="A9" s="2" t="s">
        <v>12</v>
      </c>
      <c r="B9">
        <f>SUMIFS('Stock-In-Out'!D:D,'Stock-In-Out'!B:B,"Opening Stock",'Stock-In-Out'!A:A,A9)</f>
        <v>21</v>
      </c>
      <c r="C9">
        <f>SUMIFS('Stock-In-Out'!D:D,'Stock-In-Out'!B:B,"In",'Stock-In-Out'!A:A,A9)</f>
        <v>13</v>
      </c>
      <c r="D9">
        <f>SUMIFS('Stock-In-Out'!D:D,'Stock-In-Out'!B:B,"Out",'Stock-In-Out'!A:A,A9)</f>
        <v>0</v>
      </c>
      <c r="E9">
        <f t="shared" si="0"/>
        <v>34</v>
      </c>
      <c r="F9">
        <f>VLOOKUP(A9,'Product Master'!A:C,3,0)*E9</f>
        <v>10305.400000000001</v>
      </c>
      <c r="G9">
        <f>VLOOKUP(A9,'Product Master'!A:C,2,0)*E9</f>
        <v>6698.51</v>
      </c>
      <c r="H9">
        <f>VLOOKUP(A9,'Product Master'!A8:E50,5,0)</f>
        <v>9</v>
      </c>
      <c r="I9" t="str">
        <f t="shared" si="1"/>
        <v>No</v>
      </c>
      <c r="J9">
        <f>VLOOKUP(A9,'Product Master'!A8:D50,4,0)</f>
        <v>4</v>
      </c>
    </row>
    <row r="10" spans="1:10" x14ac:dyDescent="0.25">
      <c r="A10" s="2" t="s">
        <v>13</v>
      </c>
      <c r="B10">
        <f>SUMIFS('Stock-In-Out'!D:D,'Stock-In-Out'!B:B,"Opening Stock",'Stock-In-Out'!A:A,A10)</f>
        <v>37</v>
      </c>
      <c r="C10">
        <f>SUMIFS('Stock-In-Out'!D:D,'Stock-In-Out'!B:B,"In",'Stock-In-Out'!A:A,A10)</f>
        <v>113</v>
      </c>
      <c r="D10">
        <f>SUMIFS('Stock-In-Out'!D:D,'Stock-In-Out'!B:B,"Out",'Stock-In-Out'!A:A,A10)</f>
        <v>148</v>
      </c>
      <c r="E10">
        <f t="shared" si="0"/>
        <v>2</v>
      </c>
      <c r="F10">
        <f>VLOOKUP(A10,'Product Master'!A:C,3,0)*E10</f>
        <v>273.27999999999997</v>
      </c>
      <c r="G10">
        <f>VLOOKUP(A10,'Product Master'!A:C,2,0)*E10</f>
        <v>177.63199999999998</v>
      </c>
      <c r="H10">
        <f>VLOOKUP(A10,'Product Master'!A9:E51,5,0)</f>
        <v>8</v>
      </c>
      <c r="I10" t="str">
        <f t="shared" si="1"/>
        <v>Yes</v>
      </c>
      <c r="J10">
        <f>VLOOKUP(A10,'Product Master'!A9:D51,4,0)</f>
        <v>5</v>
      </c>
    </row>
    <row r="11" spans="1:10" x14ac:dyDescent="0.25">
      <c r="A11" s="2" t="s">
        <v>14</v>
      </c>
      <c r="B11">
        <f>SUMIFS('Stock-In-Out'!D:D,'Stock-In-Out'!B:B,"Opening Stock",'Stock-In-Out'!A:A,A11)</f>
        <v>48</v>
      </c>
      <c r="C11">
        <f>SUMIFS('Stock-In-Out'!D:D,'Stock-In-Out'!B:B,"In",'Stock-In-Out'!A:A,A11)</f>
        <v>0</v>
      </c>
      <c r="D11">
        <f>SUMIFS('Stock-In-Out'!D:D,'Stock-In-Out'!B:B,"Out",'Stock-In-Out'!A:A,A11)</f>
        <v>0</v>
      </c>
      <c r="E11">
        <f t="shared" si="0"/>
        <v>48</v>
      </c>
      <c r="F11">
        <f>VLOOKUP(A11,'Product Master'!A:C,3,0)*E11</f>
        <v>6668.16</v>
      </c>
      <c r="G11">
        <f>VLOOKUP(A11,'Product Master'!A:C,2,0)*E11</f>
        <v>3400.7615999999998</v>
      </c>
      <c r="H11">
        <f>VLOOKUP(A11,'Product Master'!A10:E52,5,0)</f>
        <v>5</v>
      </c>
      <c r="I11" t="str">
        <f t="shared" si="1"/>
        <v>No</v>
      </c>
      <c r="J11">
        <f>VLOOKUP(A11,'Product Master'!A10:D52,4,0)</f>
        <v>14</v>
      </c>
    </row>
    <row r="12" spans="1:10" x14ac:dyDescent="0.25">
      <c r="A12" s="2" t="s">
        <v>15</v>
      </c>
      <c r="B12">
        <f>SUMIFS('Stock-In-Out'!D:D,'Stock-In-Out'!B:B,"Opening Stock",'Stock-In-Out'!A:A,A12)</f>
        <v>33</v>
      </c>
      <c r="C12">
        <f>SUMIFS('Stock-In-Out'!D:D,'Stock-In-Out'!B:B,"In",'Stock-In-Out'!A:A,A12)</f>
        <v>0</v>
      </c>
      <c r="D12">
        <f>SUMIFS('Stock-In-Out'!D:D,'Stock-In-Out'!B:B,"Out",'Stock-In-Out'!A:A,A12)</f>
        <v>0</v>
      </c>
      <c r="E12">
        <f t="shared" si="0"/>
        <v>33</v>
      </c>
      <c r="F12">
        <f>VLOOKUP(A12,'Product Master'!A:C,3,0)*E12</f>
        <v>9110.31</v>
      </c>
      <c r="G12">
        <f>VLOOKUP(A12,'Product Master'!A:C,2,0)*E12</f>
        <v>4646.2581</v>
      </c>
      <c r="H12">
        <f>VLOOKUP(A12,'Product Master'!A11:E53,5,0)</f>
        <v>6</v>
      </c>
      <c r="I12" t="str">
        <f t="shared" si="1"/>
        <v>No</v>
      </c>
      <c r="J12">
        <f>VLOOKUP(A12,'Product Master'!A11:D53,4,0)</f>
        <v>11</v>
      </c>
    </row>
    <row r="13" spans="1:10" x14ac:dyDescent="0.25">
      <c r="A13" s="2" t="s">
        <v>16</v>
      </c>
      <c r="B13">
        <f>SUMIFS('Stock-In-Out'!D:D,'Stock-In-Out'!B:B,"Opening Stock",'Stock-In-Out'!A:A,A13)</f>
        <v>39</v>
      </c>
      <c r="C13">
        <f>SUMIFS('Stock-In-Out'!D:D,'Stock-In-Out'!B:B,"In",'Stock-In-Out'!A:A,A13)</f>
        <v>0</v>
      </c>
      <c r="D13">
        <f>SUMIFS('Stock-In-Out'!D:D,'Stock-In-Out'!B:B,"Out",'Stock-In-Out'!A:A,A13)</f>
        <v>0</v>
      </c>
      <c r="E13">
        <f t="shared" si="0"/>
        <v>39</v>
      </c>
      <c r="F13">
        <f>VLOOKUP(A13,'Product Master'!A:C,3,0)*E13</f>
        <v>15709.98</v>
      </c>
      <c r="G13">
        <f>VLOOKUP(A13,'Product Master'!A:C,2,0)*E13</f>
        <v>10054.387199999999</v>
      </c>
      <c r="H13">
        <f>VLOOKUP(A13,'Product Master'!A12:E54,5,0)</f>
        <v>4</v>
      </c>
      <c r="I13" t="str">
        <f t="shared" si="1"/>
        <v>No</v>
      </c>
      <c r="J13">
        <f>VLOOKUP(A13,'Product Master'!A12:D54,4,0)</f>
        <v>5</v>
      </c>
    </row>
    <row r="14" spans="1:10" x14ac:dyDescent="0.25">
      <c r="A14" s="2" t="s">
        <v>17</v>
      </c>
      <c r="B14">
        <f>SUMIFS('Stock-In-Out'!D:D,'Stock-In-Out'!B:B,"Opening Stock",'Stock-In-Out'!A:A,A14)</f>
        <v>49</v>
      </c>
      <c r="C14">
        <f>SUMIFS('Stock-In-Out'!D:D,'Stock-In-Out'!B:B,"In",'Stock-In-Out'!A:A,A14)</f>
        <v>0</v>
      </c>
      <c r="D14">
        <f>SUMIFS('Stock-In-Out'!D:D,'Stock-In-Out'!B:B,"Out",'Stock-In-Out'!A:A,A14)</f>
        <v>0</v>
      </c>
      <c r="E14">
        <f t="shared" si="0"/>
        <v>49</v>
      </c>
      <c r="F14">
        <f>VLOOKUP(A14,'Product Master'!A:C,3,0)*E14</f>
        <v>11184.74</v>
      </c>
      <c r="G14">
        <f>VLOOKUP(A14,'Product Master'!A:C,2,0)*E14</f>
        <v>4473.8959999999997</v>
      </c>
      <c r="H14">
        <f>VLOOKUP(A14,'Product Master'!A13:E55,5,0)</f>
        <v>5</v>
      </c>
      <c r="I14" t="str">
        <f t="shared" si="1"/>
        <v>No</v>
      </c>
      <c r="J14">
        <f>VLOOKUP(A14,'Product Master'!A13:D55,4,0)</f>
        <v>5</v>
      </c>
    </row>
    <row r="15" spans="1:10" x14ac:dyDescent="0.25">
      <c r="A15" s="2" t="s">
        <v>18</v>
      </c>
      <c r="B15">
        <f>SUMIFS('Stock-In-Out'!D:D,'Stock-In-Out'!B:B,"Opening Stock",'Stock-In-Out'!A:A,A15)</f>
        <v>20</v>
      </c>
      <c r="C15">
        <f>SUMIFS('Stock-In-Out'!D:D,'Stock-In-Out'!B:B,"In",'Stock-In-Out'!A:A,A15)</f>
        <v>0</v>
      </c>
      <c r="D15">
        <f>SUMIFS('Stock-In-Out'!D:D,'Stock-In-Out'!B:B,"Out",'Stock-In-Out'!A:A,A15)</f>
        <v>0</v>
      </c>
      <c r="E15">
        <f t="shared" si="0"/>
        <v>20</v>
      </c>
      <c r="F15">
        <f>VLOOKUP(A15,'Product Master'!A:C,3,0)*E15</f>
        <v>2278.8000000000002</v>
      </c>
      <c r="G15">
        <f>VLOOKUP(A15,'Product Master'!A:C,2,0)*E15</f>
        <v>1595.1599999999999</v>
      </c>
      <c r="H15">
        <f>VLOOKUP(A15,'Product Master'!A14:E56,5,0)</f>
        <v>6</v>
      </c>
      <c r="I15" t="str">
        <f t="shared" si="1"/>
        <v>No</v>
      </c>
      <c r="J15">
        <f>VLOOKUP(A15,'Product Master'!A14:D56,4,0)</f>
        <v>12</v>
      </c>
    </row>
    <row r="16" spans="1:10" x14ac:dyDescent="0.25">
      <c r="A16" s="2" t="s">
        <v>19</v>
      </c>
      <c r="B16">
        <f>SUMIFS('Stock-In-Out'!D:D,'Stock-In-Out'!B:B,"Opening Stock",'Stock-In-Out'!A:A,A16)</f>
        <v>21</v>
      </c>
      <c r="C16">
        <f>SUMIFS('Stock-In-Out'!D:D,'Stock-In-Out'!B:B,"In",'Stock-In-Out'!A:A,A16)</f>
        <v>0</v>
      </c>
      <c r="D16">
        <f>SUMIFS('Stock-In-Out'!D:D,'Stock-In-Out'!B:B,"Out",'Stock-In-Out'!A:A,A16)</f>
        <v>0</v>
      </c>
      <c r="E16">
        <f t="shared" si="0"/>
        <v>21</v>
      </c>
      <c r="F16">
        <f>VLOOKUP(A16,'Product Master'!A:C,3,0)*E16</f>
        <v>2745.12</v>
      </c>
      <c r="G16">
        <f>VLOOKUP(A16,'Product Master'!A:C,2,0)*E16</f>
        <v>1454.9135999999999</v>
      </c>
      <c r="H16">
        <f>VLOOKUP(A16,'Product Master'!A15:E57,5,0)</f>
        <v>9</v>
      </c>
      <c r="I16" t="str">
        <f t="shared" si="1"/>
        <v>No</v>
      </c>
      <c r="J16">
        <f>VLOOKUP(A16,'Product Master'!A15:D57,4,0)</f>
        <v>6</v>
      </c>
    </row>
    <row r="17" spans="1:10" x14ac:dyDescent="0.25">
      <c r="A17" s="2" t="s">
        <v>20</v>
      </c>
      <c r="B17">
        <f>SUMIFS('Stock-In-Out'!D:D,'Stock-In-Out'!B:B,"Opening Stock",'Stock-In-Out'!A:A,A17)</f>
        <v>49</v>
      </c>
      <c r="C17">
        <f>SUMIFS('Stock-In-Out'!D:D,'Stock-In-Out'!B:B,"In",'Stock-In-Out'!A:A,A17)</f>
        <v>0</v>
      </c>
      <c r="D17">
        <f>SUMIFS('Stock-In-Out'!D:D,'Stock-In-Out'!B:B,"Out",'Stock-In-Out'!A:A,A17)</f>
        <v>0</v>
      </c>
      <c r="E17">
        <f t="shared" si="0"/>
        <v>49</v>
      </c>
      <c r="F17">
        <f>VLOOKUP(A17,'Product Master'!A:C,3,0)*E17</f>
        <v>13691.58</v>
      </c>
      <c r="G17">
        <f>VLOOKUP(A17,'Product Master'!A:C,2,0)*E17</f>
        <v>8899.527</v>
      </c>
      <c r="H17">
        <f>VLOOKUP(A17,'Product Master'!A16:E58,5,0)</f>
        <v>7</v>
      </c>
      <c r="I17" t="str">
        <f t="shared" si="1"/>
        <v>No</v>
      </c>
      <c r="J17">
        <f>VLOOKUP(A17,'Product Master'!A16:D58,4,0)</f>
        <v>14</v>
      </c>
    </row>
    <row r="18" spans="1:10" x14ac:dyDescent="0.25">
      <c r="A18" s="2" t="s">
        <v>21</v>
      </c>
      <c r="B18">
        <f>SUMIFS('Stock-In-Out'!D:D,'Stock-In-Out'!B:B,"Opening Stock",'Stock-In-Out'!A:A,A18)</f>
        <v>28</v>
      </c>
      <c r="C18">
        <f>SUMIFS('Stock-In-Out'!D:D,'Stock-In-Out'!B:B,"In",'Stock-In-Out'!A:A,A18)</f>
        <v>0</v>
      </c>
      <c r="D18">
        <f>SUMIFS('Stock-In-Out'!D:D,'Stock-In-Out'!B:B,"Out",'Stock-In-Out'!A:A,A18)</f>
        <v>0</v>
      </c>
      <c r="E18">
        <f t="shared" si="0"/>
        <v>28</v>
      </c>
      <c r="F18">
        <f>VLOOKUP(A18,'Product Master'!A:C,3,0)*E18</f>
        <v>9370.76</v>
      </c>
      <c r="G18">
        <f>VLOOKUP(A18,'Product Master'!A:C,2,0)*E18</f>
        <v>5060.2104000000008</v>
      </c>
      <c r="H18">
        <f>VLOOKUP(A18,'Product Master'!A17:E59,5,0)</f>
        <v>5</v>
      </c>
      <c r="I18" t="str">
        <f t="shared" si="1"/>
        <v>No</v>
      </c>
      <c r="J18">
        <f>VLOOKUP(A18,'Product Master'!A17:D59,4,0)</f>
        <v>9</v>
      </c>
    </row>
    <row r="19" spans="1:10" x14ac:dyDescent="0.25">
      <c r="A19" s="2" t="s">
        <v>22</v>
      </c>
      <c r="B19">
        <f>SUMIFS('Stock-In-Out'!D:D,'Stock-In-Out'!B:B,"Opening Stock",'Stock-In-Out'!A:A,A19)</f>
        <v>34</v>
      </c>
      <c r="C19">
        <f>SUMIFS('Stock-In-Out'!D:D,'Stock-In-Out'!B:B,"In",'Stock-In-Out'!A:A,A19)</f>
        <v>0</v>
      </c>
      <c r="D19">
        <f>SUMIFS('Stock-In-Out'!D:D,'Stock-In-Out'!B:B,"Out",'Stock-In-Out'!A:A,A19)</f>
        <v>0</v>
      </c>
      <c r="E19">
        <f t="shared" si="0"/>
        <v>34</v>
      </c>
      <c r="F19">
        <f>VLOOKUP(A19,'Product Master'!A:C,3,0)*E19</f>
        <v>16213.24</v>
      </c>
      <c r="G19">
        <f>VLOOKUP(A19,'Product Master'!A:C,2,0)*E19</f>
        <v>7944.4876000000004</v>
      </c>
      <c r="H19">
        <f>VLOOKUP(A19,'Product Master'!A18:E60,5,0)</f>
        <v>8</v>
      </c>
      <c r="I19" t="str">
        <f t="shared" si="1"/>
        <v>No</v>
      </c>
      <c r="J19">
        <f>VLOOKUP(A19,'Product Master'!A18:D60,4,0)</f>
        <v>5</v>
      </c>
    </row>
    <row r="20" spans="1:10" x14ac:dyDescent="0.25">
      <c r="A20" s="2" t="s">
        <v>23</v>
      </c>
      <c r="B20">
        <f>SUMIFS('Stock-In-Out'!D:D,'Stock-In-Out'!B:B,"Opening Stock",'Stock-In-Out'!A:A,A20)</f>
        <v>31</v>
      </c>
      <c r="C20">
        <f>SUMIFS('Stock-In-Out'!D:D,'Stock-In-Out'!B:B,"In",'Stock-In-Out'!A:A,A20)</f>
        <v>0</v>
      </c>
      <c r="D20">
        <f>SUMIFS('Stock-In-Out'!D:D,'Stock-In-Out'!B:B,"Out",'Stock-In-Out'!A:A,A20)</f>
        <v>0</v>
      </c>
      <c r="E20">
        <f t="shared" si="0"/>
        <v>31</v>
      </c>
      <c r="F20">
        <f>VLOOKUP(A20,'Product Master'!A:C,3,0)*E20</f>
        <v>13711.61</v>
      </c>
      <c r="G20">
        <f>VLOOKUP(A20,'Product Master'!A:C,2,0)*E20</f>
        <v>8089.8498999999993</v>
      </c>
      <c r="H20">
        <f>VLOOKUP(A20,'Product Master'!A19:E61,5,0)</f>
        <v>8</v>
      </c>
      <c r="I20" t="str">
        <f t="shared" si="1"/>
        <v>No</v>
      </c>
      <c r="J20">
        <f>VLOOKUP(A20,'Product Master'!A19:D61,4,0)</f>
        <v>9</v>
      </c>
    </row>
    <row r="21" spans="1:10" x14ac:dyDescent="0.25">
      <c r="A21" s="2" t="s">
        <v>24</v>
      </c>
      <c r="B21">
        <f>SUMIFS('Stock-In-Out'!D:D,'Stock-In-Out'!B:B,"Opening Stock",'Stock-In-Out'!A:A,A21)</f>
        <v>48</v>
      </c>
      <c r="C21">
        <f>SUMIFS('Stock-In-Out'!D:D,'Stock-In-Out'!B:B,"In",'Stock-In-Out'!A:A,A21)</f>
        <v>0</v>
      </c>
      <c r="D21">
        <f>SUMIFS('Stock-In-Out'!D:D,'Stock-In-Out'!B:B,"Out",'Stock-In-Out'!A:A,A21)</f>
        <v>0</v>
      </c>
      <c r="E21">
        <f t="shared" si="0"/>
        <v>48</v>
      </c>
      <c r="F21">
        <f>VLOOKUP(A21,'Product Master'!A:C,3,0)*E21</f>
        <v>6128.64</v>
      </c>
      <c r="G21">
        <f>VLOOKUP(A21,'Product Master'!A:C,2,0)*E21</f>
        <v>4044.9024000000009</v>
      </c>
      <c r="H21">
        <f>VLOOKUP(A21,'Product Master'!A20:E62,5,0)</f>
        <v>4</v>
      </c>
      <c r="I21" t="str">
        <f t="shared" si="1"/>
        <v>No</v>
      </c>
      <c r="J21">
        <f>VLOOKUP(A21,'Product Master'!A20:D62,4,0)</f>
        <v>7</v>
      </c>
    </row>
    <row r="22" spans="1:10" x14ac:dyDescent="0.25">
      <c r="A22" s="2" t="s">
        <v>25</v>
      </c>
      <c r="B22">
        <f>SUMIFS('Stock-In-Out'!D:D,'Stock-In-Out'!B:B,"Opening Stock",'Stock-In-Out'!A:A,A22)</f>
        <v>42</v>
      </c>
      <c r="C22">
        <f>SUMIFS('Stock-In-Out'!D:D,'Stock-In-Out'!B:B,"In",'Stock-In-Out'!A:A,A22)</f>
        <v>0</v>
      </c>
      <c r="D22">
        <f>SUMIFS('Stock-In-Out'!D:D,'Stock-In-Out'!B:B,"Out",'Stock-In-Out'!A:A,A22)</f>
        <v>0</v>
      </c>
      <c r="E22">
        <f t="shared" si="0"/>
        <v>42</v>
      </c>
      <c r="F22">
        <f>VLOOKUP(A22,'Product Master'!A:C,3,0)*E22</f>
        <v>9972.9</v>
      </c>
      <c r="G22">
        <f>VLOOKUP(A22,'Product Master'!A:C,2,0)*E22</f>
        <v>5784.2819999999992</v>
      </c>
      <c r="H22">
        <f>VLOOKUP(A22,'Product Master'!A21:E63,5,0)</f>
        <v>9</v>
      </c>
      <c r="I22" t="str">
        <f t="shared" si="1"/>
        <v>No</v>
      </c>
      <c r="J22">
        <f>VLOOKUP(A22,'Product Master'!A21:D63,4,0)</f>
        <v>8</v>
      </c>
    </row>
    <row r="23" spans="1:10" x14ac:dyDescent="0.25">
      <c r="A23" s="2" t="s">
        <v>26</v>
      </c>
      <c r="B23">
        <f>SUMIFS('Stock-In-Out'!D:D,'Stock-In-Out'!B:B,"Opening Stock",'Stock-In-Out'!A:A,A23)</f>
        <v>31</v>
      </c>
      <c r="C23">
        <f>SUMIFS('Stock-In-Out'!D:D,'Stock-In-Out'!B:B,"In",'Stock-In-Out'!A:A,A23)</f>
        <v>0</v>
      </c>
      <c r="D23">
        <f>SUMIFS('Stock-In-Out'!D:D,'Stock-In-Out'!B:B,"Out",'Stock-In-Out'!A:A,A23)</f>
        <v>0</v>
      </c>
      <c r="E23">
        <f t="shared" si="0"/>
        <v>31</v>
      </c>
      <c r="F23">
        <f>VLOOKUP(A23,'Product Master'!A:C,3,0)*E23</f>
        <v>14337.81</v>
      </c>
      <c r="G23">
        <f>VLOOKUP(A23,'Product Master'!A:C,2,0)*E23</f>
        <v>7312.2830999999996</v>
      </c>
      <c r="H23">
        <f>VLOOKUP(A23,'Product Master'!A22:E64,5,0)</f>
        <v>9</v>
      </c>
      <c r="I23" t="str">
        <f t="shared" si="1"/>
        <v>No</v>
      </c>
      <c r="J23">
        <f>VLOOKUP(A23,'Product Master'!A22:D64,4,0)</f>
        <v>4</v>
      </c>
    </row>
    <row r="24" spans="1:10" x14ac:dyDescent="0.25">
      <c r="A24" s="2" t="s">
        <v>27</v>
      </c>
      <c r="B24">
        <f>SUMIFS('Stock-In-Out'!D:D,'Stock-In-Out'!B:B,"Opening Stock",'Stock-In-Out'!A:A,A24)</f>
        <v>29</v>
      </c>
      <c r="C24">
        <f>SUMIFS('Stock-In-Out'!D:D,'Stock-In-Out'!B:B,"In",'Stock-In-Out'!A:A,A24)</f>
        <v>0</v>
      </c>
      <c r="D24">
        <f>SUMIFS('Stock-In-Out'!D:D,'Stock-In-Out'!B:B,"Out",'Stock-In-Out'!A:A,A24)</f>
        <v>0</v>
      </c>
      <c r="E24">
        <f t="shared" si="0"/>
        <v>29</v>
      </c>
      <c r="F24">
        <f>VLOOKUP(A24,'Product Master'!A:C,3,0)*E24</f>
        <v>13123.66</v>
      </c>
      <c r="G24">
        <f>VLOOKUP(A24,'Product Master'!A:C,2,0)*E24</f>
        <v>8924.0888000000014</v>
      </c>
      <c r="H24">
        <f>VLOOKUP(A24,'Product Master'!A23:E65,5,0)</f>
        <v>9</v>
      </c>
      <c r="I24" t="str">
        <f t="shared" si="1"/>
        <v>No</v>
      </c>
      <c r="J24">
        <f>VLOOKUP(A24,'Product Master'!A23:D65,4,0)</f>
        <v>11</v>
      </c>
    </row>
    <row r="25" spans="1:10" x14ac:dyDescent="0.25">
      <c r="A25" s="2" t="s">
        <v>28</v>
      </c>
      <c r="B25">
        <f>SUMIFS('Stock-In-Out'!D:D,'Stock-In-Out'!B:B,"Opening Stock",'Stock-In-Out'!A:A,A25)</f>
        <v>34</v>
      </c>
      <c r="C25">
        <f>SUMIFS('Stock-In-Out'!D:D,'Stock-In-Out'!B:B,"In",'Stock-In-Out'!A:A,A25)</f>
        <v>0</v>
      </c>
      <c r="D25">
        <f>SUMIFS('Stock-In-Out'!D:D,'Stock-In-Out'!B:B,"Out",'Stock-In-Out'!A:A,A25)</f>
        <v>0</v>
      </c>
      <c r="E25">
        <f t="shared" si="0"/>
        <v>34</v>
      </c>
      <c r="F25">
        <f>VLOOKUP(A25,'Product Master'!A:C,3,0)*E25</f>
        <v>15771.92</v>
      </c>
      <c r="G25">
        <f>VLOOKUP(A25,'Product Master'!A:C,2,0)*E25</f>
        <v>8989.9943999999996</v>
      </c>
      <c r="H25">
        <f>VLOOKUP(A25,'Product Master'!A24:E66,5,0)</f>
        <v>9</v>
      </c>
      <c r="I25" t="str">
        <f t="shared" si="1"/>
        <v>No</v>
      </c>
      <c r="J25">
        <f>VLOOKUP(A25,'Product Master'!A24:D66,4,0)</f>
        <v>11</v>
      </c>
    </row>
    <row r="26" spans="1:10" x14ac:dyDescent="0.25">
      <c r="A26" s="2" t="s">
        <v>29</v>
      </c>
      <c r="B26">
        <f>SUMIFS('Stock-In-Out'!D:D,'Stock-In-Out'!B:B,"Opening Stock",'Stock-In-Out'!A:A,A26)</f>
        <v>20</v>
      </c>
      <c r="C26">
        <f>SUMIFS('Stock-In-Out'!D:D,'Stock-In-Out'!B:B,"In",'Stock-In-Out'!A:A,A26)</f>
        <v>0</v>
      </c>
      <c r="D26">
        <f>SUMIFS('Stock-In-Out'!D:D,'Stock-In-Out'!B:B,"Out",'Stock-In-Out'!A:A,A26)</f>
        <v>0</v>
      </c>
      <c r="E26">
        <f t="shared" si="0"/>
        <v>20</v>
      </c>
      <c r="F26">
        <f>VLOOKUP(A26,'Product Master'!A:C,3,0)*E26</f>
        <v>3968.3999999999996</v>
      </c>
      <c r="G26">
        <f>VLOOKUP(A26,'Product Master'!A:C,2,0)*E26</f>
        <v>1904.8319999999999</v>
      </c>
      <c r="H26">
        <f>VLOOKUP(A26,'Product Master'!A25:E67,5,0)</f>
        <v>8</v>
      </c>
      <c r="I26" t="str">
        <f t="shared" si="1"/>
        <v>No</v>
      </c>
      <c r="J26">
        <f>VLOOKUP(A26,'Product Master'!A25:D67,4,0)</f>
        <v>13</v>
      </c>
    </row>
    <row r="27" spans="1:10" x14ac:dyDescent="0.25">
      <c r="A27" s="2" t="s">
        <v>30</v>
      </c>
      <c r="B27">
        <f>SUMIFS('Stock-In-Out'!D:D,'Stock-In-Out'!B:B,"Opening Stock",'Stock-In-Out'!A:A,A27)</f>
        <v>34</v>
      </c>
      <c r="C27">
        <f>SUMIFS('Stock-In-Out'!D:D,'Stock-In-Out'!B:B,"In",'Stock-In-Out'!A:A,A27)</f>
        <v>0</v>
      </c>
      <c r="D27">
        <f>SUMIFS('Stock-In-Out'!D:D,'Stock-In-Out'!B:B,"Out",'Stock-In-Out'!A:A,A27)</f>
        <v>0</v>
      </c>
      <c r="E27">
        <f t="shared" si="0"/>
        <v>34</v>
      </c>
      <c r="F27">
        <f>VLOOKUP(A27,'Product Master'!A:C,3,0)*E27</f>
        <v>9183.06</v>
      </c>
      <c r="G27">
        <f>VLOOKUP(A27,'Product Master'!A:C,2,0)*E27</f>
        <v>5877.1583999999993</v>
      </c>
      <c r="H27">
        <f>VLOOKUP(A27,'Product Master'!A26:E68,5,0)</f>
        <v>4</v>
      </c>
      <c r="I27" t="str">
        <f t="shared" si="1"/>
        <v>No</v>
      </c>
      <c r="J27">
        <f>VLOOKUP(A27,'Product Master'!A26:D68,4,0)</f>
        <v>12</v>
      </c>
    </row>
    <row r="28" spans="1:10" x14ac:dyDescent="0.25">
      <c r="A28" s="2" t="s">
        <v>31</v>
      </c>
      <c r="B28">
        <f>SUMIFS('Stock-In-Out'!D:D,'Stock-In-Out'!B:B,"Opening Stock",'Stock-In-Out'!A:A,A28)</f>
        <v>42</v>
      </c>
      <c r="C28">
        <f>SUMIFS('Stock-In-Out'!D:D,'Stock-In-Out'!B:B,"In",'Stock-In-Out'!A:A,A28)</f>
        <v>0</v>
      </c>
      <c r="D28">
        <f>SUMIFS('Stock-In-Out'!D:D,'Stock-In-Out'!B:B,"Out",'Stock-In-Out'!A:A,A28)</f>
        <v>0</v>
      </c>
      <c r="E28">
        <f t="shared" si="0"/>
        <v>42</v>
      </c>
      <c r="F28">
        <f>VLOOKUP(A28,'Product Master'!A:C,3,0)*E28</f>
        <v>6102.1799999999994</v>
      </c>
      <c r="G28">
        <f>VLOOKUP(A28,'Product Master'!A:C,2,0)*E28</f>
        <v>3051.0899999999997</v>
      </c>
      <c r="H28">
        <f>VLOOKUP(A28,'Product Master'!A27:E69,5,0)</f>
        <v>7</v>
      </c>
      <c r="I28" t="str">
        <f t="shared" si="1"/>
        <v>No</v>
      </c>
      <c r="J28">
        <f>VLOOKUP(A28,'Product Master'!A27:D69,4,0)</f>
        <v>6</v>
      </c>
    </row>
    <row r="29" spans="1:10" x14ac:dyDescent="0.25">
      <c r="A29" s="2" t="s">
        <v>32</v>
      </c>
      <c r="B29">
        <f>SUMIFS('Stock-In-Out'!D:D,'Stock-In-Out'!B:B,"Opening Stock",'Stock-In-Out'!A:A,A29)</f>
        <v>36</v>
      </c>
      <c r="C29">
        <f>SUMIFS('Stock-In-Out'!D:D,'Stock-In-Out'!B:B,"In",'Stock-In-Out'!A:A,A29)</f>
        <v>45</v>
      </c>
      <c r="D29">
        <f>SUMIFS('Stock-In-Out'!D:D,'Stock-In-Out'!B:B,"Out",'Stock-In-Out'!A:A,A29)</f>
        <v>0</v>
      </c>
      <c r="E29">
        <f t="shared" si="0"/>
        <v>81</v>
      </c>
      <c r="F29">
        <f>VLOOKUP(A29,'Product Master'!A:C,3,0)*E29</f>
        <v>33299.910000000003</v>
      </c>
      <c r="G29">
        <f>VLOOKUP(A29,'Product Master'!A:C,2,0)*E29</f>
        <v>17981.951400000002</v>
      </c>
      <c r="H29">
        <f>VLOOKUP(A29,'Product Master'!A28:E70,5,0)</f>
        <v>6</v>
      </c>
      <c r="I29" t="str">
        <f t="shared" si="1"/>
        <v>No</v>
      </c>
      <c r="J29">
        <f>VLOOKUP(A29,'Product Master'!A28:D70,4,0)</f>
        <v>5</v>
      </c>
    </row>
    <row r="30" spans="1:10" x14ac:dyDescent="0.25">
      <c r="A30" s="2" t="s">
        <v>33</v>
      </c>
      <c r="B30">
        <f>SUMIFS('Stock-In-Out'!D:D,'Stock-In-Out'!B:B,"Opening Stock",'Stock-In-Out'!A:A,A30)</f>
        <v>40</v>
      </c>
      <c r="C30">
        <f>SUMIFS('Stock-In-Out'!D:D,'Stock-In-Out'!B:B,"In",'Stock-In-Out'!A:A,A30)</f>
        <v>0</v>
      </c>
      <c r="D30">
        <f>SUMIFS('Stock-In-Out'!D:D,'Stock-In-Out'!B:B,"Out",'Stock-In-Out'!A:A,A30)</f>
        <v>0</v>
      </c>
      <c r="E30">
        <f t="shared" si="0"/>
        <v>40</v>
      </c>
      <c r="F30">
        <f>VLOOKUP(A30,'Product Master'!A:C,3,0)*E30</f>
        <v>15992</v>
      </c>
      <c r="G30">
        <f>VLOOKUP(A30,'Product Master'!A:C,2,0)*E30</f>
        <v>8635.68</v>
      </c>
      <c r="H30">
        <f>VLOOKUP(A30,'Product Master'!A29:E71,5,0)</f>
        <v>7</v>
      </c>
      <c r="I30" t="str">
        <f t="shared" si="1"/>
        <v>No</v>
      </c>
      <c r="J30">
        <f>VLOOKUP(A30,'Product Master'!A29:D71,4,0)</f>
        <v>13</v>
      </c>
    </row>
    <row r="31" spans="1:10" x14ac:dyDescent="0.25">
      <c r="A31" s="2" t="s">
        <v>34</v>
      </c>
      <c r="B31">
        <f>SUMIFS('Stock-In-Out'!D:D,'Stock-In-Out'!B:B,"Opening Stock",'Stock-In-Out'!A:A,A31)</f>
        <v>32</v>
      </c>
      <c r="C31">
        <f>SUMIFS('Stock-In-Out'!D:D,'Stock-In-Out'!B:B,"In",'Stock-In-Out'!A:A,A31)</f>
        <v>0</v>
      </c>
      <c r="D31">
        <f>SUMIFS('Stock-In-Out'!D:D,'Stock-In-Out'!B:B,"Out",'Stock-In-Out'!A:A,A31)</f>
        <v>0</v>
      </c>
      <c r="E31">
        <f t="shared" si="0"/>
        <v>32</v>
      </c>
      <c r="F31">
        <f>VLOOKUP(A31,'Product Master'!A:C,3,0)*E31</f>
        <v>9587.84</v>
      </c>
      <c r="G31">
        <f>VLOOKUP(A31,'Product Master'!A:C,2,0)*E31</f>
        <v>4314.5280000000002</v>
      </c>
      <c r="H31">
        <f>VLOOKUP(A31,'Product Master'!A30:E72,5,0)</f>
        <v>6</v>
      </c>
      <c r="I31" t="str">
        <f t="shared" si="1"/>
        <v>No</v>
      </c>
      <c r="J31">
        <f>VLOOKUP(A31,'Product Master'!A30:D72,4,0)</f>
        <v>8</v>
      </c>
    </row>
    <row r="32" spans="1:10" x14ac:dyDescent="0.25">
      <c r="A32" s="2" t="s">
        <v>35</v>
      </c>
      <c r="B32">
        <f>SUMIFS('Stock-In-Out'!D:D,'Stock-In-Out'!B:B,"Opening Stock",'Stock-In-Out'!A:A,A32)</f>
        <v>44</v>
      </c>
      <c r="C32">
        <f>SUMIFS('Stock-In-Out'!D:D,'Stock-In-Out'!B:B,"In",'Stock-In-Out'!A:A,A32)</f>
        <v>0</v>
      </c>
      <c r="D32">
        <f>SUMIFS('Stock-In-Out'!D:D,'Stock-In-Out'!B:B,"Out",'Stock-In-Out'!A:A,A32)</f>
        <v>0</v>
      </c>
      <c r="E32">
        <f t="shared" si="0"/>
        <v>44</v>
      </c>
      <c r="F32">
        <f>VLOOKUP(A32,'Product Master'!A:C,3,0)*E32</f>
        <v>12520.64</v>
      </c>
      <c r="G32">
        <f>VLOOKUP(A32,'Product Master'!A:C,2,0)*E32</f>
        <v>8263.6224000000002</v>
      </c>
      <c r="H32">
        <f>VLOOKUP(A32,'Product Master'!A31:E73,5,0)</f>
        <v>4</v>
      </c>
      <c r="I32" t="str">
        <f t="shared" si="1"/>
        <v>No</v>
      </c>
      <c r="J32">
        <f>VLOOKUP(A32,'Product Master'!A31:D73,4,0)</f>
        <v>4</v>
      </c>
    </row>
    <row r="33" spans="1:10" x14ac:dyDescent="0.25">
      <c r="A33" s="2" t="s">
        <v>36</v>
      </c>
      <c r="B33">
        <f>SUMIFS('Stock-In-Out'!D:D,'Stock-In-Out'!B:B,"Opening Stock",'Stock-In-Out'!A:A,A33)</f>
        <v>39</v>
      </c>
      <c r="C33">
        <f>SUMIFS('Stock-In-Out'!D:D,'Stock-In-Out'!B:B,"In",'Stock-In-Out'!A:A,A33)</f>
        <v>0</v>
      </c>
      <c r="D33">
        <f>SUMIFS('Stock-In-Out'!D:D,'Stock-In-Out'!B:B,"Out",'Stock-In-Out'!A:A,A33)</f>
        <v>0</v>
      </c>
      <c r="E33">
        <f t="shared" si="0"/>
        <v>39</v>
      </c>
      <c r="F33">
        <f>VLOOKUP(A33,'Product Master'!A:C,3,0)*E33</f>
        <v>8966.8799999999992</v>
      </c>
      <c r="G33">
        <f>VLOOKUP(A33,'Product Master'!A:C,2,0)*E33</f>
        <v>4304.1023999999998</v>
      </c>
      <c r="H33">
        <f>VLOOKUP(A33,'Product Master'!A32:E74,5,0)</f>
        <v>7</v>
      </c>
      <c r="I33" t="str">
        <f t="shared" si="1"/>
        <v>No</v>
      </c>
      <c r="J33">
        <f>VLOOKUP(A33,'Product Master'!A32:D74,4,0)</f>
        <v>9</v>
      </c>
    </row>
    <row r="34" spans="1:10" x14ac:dyDescent="0.25">
      <c r="A34" s="2" t="s">
        <v>37</v>
      </c>
      <c r="B34">
        <f>SUMIFS('Stock-In-Out'!D:D,'Stock-In-Out'!B:B,"Opening Stock",'Stock-In-Out'!A:A,A34)</f>
        <v>20</v>
      </c>
      <c r="C34">
        <f>SUMIFS('Stock-In-Out'!D:D,'Stock-In-Out'!B:B,"In",'Stock-In-Out'!A:A,A34)</f>
        <v>0</v>
      </c>
      <c r="D34">
        <f>SUMIFS('Stock-In-Out'!D:D,'Stock-In-Out'!B:B,"Out",'Stock-In-Out'!A:A,A34)</f>
        <v>0</v>
      </c>
      <c r="E34">
        <f t="shared" si="0"/>
        <v>20</v>
      </c>
      <c r="F34">
        <f>VLOOKUP(A34,'Product Master'!A:C,3,0)*E34</f>
        <v>7761.4</v>
      </c>
      <c r="G34">
        <f>VLOOKUP(A34,'Product Master'!A:C,2,0)*E34</f>
        <v>3725.4719999999998</v>
      </c>
      <c r="H34">
        <f>VLOOKUP(A34,'Product Master'!A33:E75,5,0)</f>
        <v>7</v>
      </c>
      <c r="I34" t="str">
        <f t="shared" si="1"/>
        <v>No</v>
      </c>
      <c r="J34">
        <f>VLOOKUP(A34,'Product Master'!A33:D75,4,0)</f>
        <v>4</v>
      </c>
    </row>
    <row r="35" spans="1:10" x14ac:dyDescent="0.25">
      <c r="A35" s="2" t="s">
        <v>38</v>
      </c>
      <c r="B35">
        <f>SUMIFS('Stock-In-Out'!D:D,'Stock-In-Out'!B:B,"Opening Stock",'Stock-In-Out'!A:A,A35)</f>
        <v>30</v>
      </c>
      <c r="C35">
        <f>SUMIFS('Stock-In-Out'!D:D,'Stock-In-Out'!B:B,"In",'Stock-In-Out'!A:A,A35)</f>
        <v>0</v>
      </c>
      <c r="D35">
        <f>SUMIFS('Stock-In-Out'!D:D,'Stock-In-Out'!B:B,"Out",'Stock-In-Out'!A:A,A35)</f>
        <v>0</v>
      </c>
      <c r="E35">
        <f t="shared" si="0"/>
        <v>30</v>
      </c>
      <c r="F35">
        <f>VLOOKUP(A35,'Product Master'!A:C,3,0)*E35</f>
        <v>3790.5</v>
      </c>
      <c r="G35">
        <f>VLOOKUP(A35,'Product Master'!A:C,2,0)*E35</f>
        <v>2008.9650000000001</v>
      </c>
      <c r="H35">
        <f>VLOOKUP(A35,'Product Master'!A34:E76,5,0)</f>
        <v>7</v>
      </c>
      <c r="I35" t="str">
        <f t="shared" si="1"/>
        <v>No</v>
      </c>
      <c r="J35">
        <f>VLOOKUP(A35,'Product Master'!A34:D76,4,0)</f>
        <v>15</v>
      </c>
    </row>
    <row r="36" spans="1:10" x14ac:dyDescent="0.25">
      <c r="A36" s="2" t="s">
        <v>39</v>
      </c>
      <c r="B36">
        <f>SUMIFS('Stock-In-Out'!D:D,'Stock-In-Out'!B:B,"Opening Stock",'Stock-In-Out'!A:A,A36)</f>
        <v>21</v>
      </c>
      <c r="C36">
        <f>SUMIFS('Stock-In-Out'!D:D,'Stock-In-Out'!B:B,"In",'Stock-In-Out'!A:A,A36)</f>
        <v>0</v>
      </c>
      <c r="D36">
        <f>SUMIFS('Stock-In-Out'!D:D,'Stock-In-Out'!B:B,"Out",'Stock-In-Out'!A:A,A36)</f>
        <v>0</v>
      </c>
      <c r="E36">
        <f t="shared" si="0"/>
        <v>21</v>
      </c>
      <c r="F36">
        <f>VLOOKUP(A36,'Product Master'!A:C,3,0)*E36</f>
        <v>4379.97</v>
      </c>
      <c r="G36">
        <f>VLOOKUP(A36,'Product Master'!A:C,2,0)*E36</f>
        <v>2058.5858999999996</v>
      </c>
      <c r="H36">
        <f>VLOOKUP(A36,'Product Master'!A35:E77,5,0)</f>
        <v>6</v>
      </c>
      <c r="I36" t="str">
        <f t="shared" si="1"/>
        <v>No</v>
      </c>
      <c r="J36">
        <f>VLOOKUP(A36,'Product Master'!A35:D77,4,0)</f>
        <v>4</v>
      </c>
    </row>
    <row r="37" spans="1:10" x14ac:dyDescent="0.25">
      <c r="A37" s="2" t="s">
        <v>40</v>
      </c>
      <c r="B37">
        <f>SUMIFS('Stock-In-Out'!D:D,'Stock-In-Out'!B:B,"Opening Stock",'Stock-In-Out'!A:A,A37)</f>
        <v>20</v>
      </c>
      <c r="C37">
        <f>SUMIFS('Stock-In-Out'!D:D,'Stock-In-Out'!B:B,"In",'Stock-In-Out'!A:A,A37)</f>
        <v>0</v>
      </c>
      <c r="D37">
        <f>SUMIFS('Stock-In-Out'!D:D,'Stock-In-Out'!B:B,"Out",'Stock-In-Out'!A:A,A37)</f>
        <v>0</v>
      </c>
      <c r="E37">
        <f t="shared" si="0"/>
        <v>20</v>
      </c>
      <c r="F37">
        <f>VLOOKUP(A37,'Product Master'!A:C,3,0)*E37</f>
        <v>9430.8000000000011</v>
      </c>
      <c r="G37">
        <f>VLOOKUP(A37,'Product Master'!A:C,2,0)*E37</f>
        <v>6412.9440000000013</v>
      </c>
      <c r="H37">
        <f>VLOOKUP(A37,'Product Master'!A36:E78,5,0)</f>
        <v>6</v>
      </c>
      <c r="I37" t="str">
        <f t="shared" si="1"/>
        <v>No</v>
      </c>
      <c r="J37">
        <f>VLOOKUP(A37,'Product Master'!A36:D78,4,0)</f>
        <v>3</v>
      </c>
    </row>
    <row r="38" spans="1:10" x14ac:dyDescent="0.25">
      <c r="A38" s="2" t="s">
        <v>41</v>
      </c>
      <c r="B38">
        <f>SUMIFS('Stock-In-Out'!D:D,'Stock-In-Out'!B:B,"Opening Stock",'Stock-In-Out'!A:A,A38)</f>
        <v>40</v>
      </c>
      <c r="C38">
        <f>SUMIFS('Stock-In-Out'!D:D,'Stock-In-Out'!B:B,"In",'Stock-In-Out'!A:A,A38)</f>
        <v>0</v>
      </c>
      <c r="D38">
        <f>SUMIFS('Stock-In-Out'!D:D,'Stock-In-Out'!B:B,"Out",'Stock-In-Out'!A:A,A38)</f>
        <v>0</v>
      </c>
      <c r="E38">
        <f t="shared" si="0"/>
        <v>40</v>
      </c>
      <c r="F38">
        <f>VLOOKUP(A38,'Product Master'!A:C,3,0)*E38</f>
        <v>13396</v>
      </c>
      <c r="G38">
        <f>VLOOKUP(A38,'Product Master'!A:C,2,0)*E38</f>
        <v>7367.7999999999993</v>
      </c>
      <c r="H38">
        <f>VLOOKUP(A38,'Product Master'!A37:E79,5,0)</f>
        <v>7</v>
      </c>
      <c r="I38" t="str">
        <f t="shared" si="1"/>
        <v>No</v>
      </c>
      <c r="J38">
        <f>VLOOKUP(A38,'Product Master'!A37:D79,4,0)</f>
        <v>10</v>
      </c>
    </row>
    <row r="39" spans="1:10" x14ac:dyDescent="0.25">
      <c r="A39" s="2" t="s">
        <v>42</v>
      </c>
      <c r="B39">
        <f>SUMIFS('Stock-In-Out'!D:D,'Stock-In-Out'!B:B,"Opening Stock",'Stock-In-Out'!A:A,A39)</f>
        <v>24</v>
      </c>
      <c r="C39">
        <f>SUMIFS('Stock-In-Out'!D:D,'Stock-In-Out'!B:B,"In",'Stock-In-Out'!A:A,A39)</f>
        <v>0</v>
      </c>
      <c r="D39">
        <f>SUMIFS('Stock-In-Out'!D:D,'Stock-In-Out'!B:B,"Out",'Stock-In-Out'!A:A,A39)</f>
        <v>0</v>
      </c>
      <c r="E39">
        <f t="shared" si="0"/>
        <v>24</v>
      </c>
      <c r="F39">
        <f>VLOOKUP(A39,'Product Master'!A:C,3,0)*E39</f>
        <v>4333.68</v>
      </c>
      <c r="G39">
        <f>VLOOKUP(A39,'Product Master'!A:C,2,0)*E39</f>
        <v>2383.5240000000003</v>
      </c>
      <c r="H39">
        <f>VLOOKUP(A39,'Product Master'!A38:E80,5,0)</f>
        <v>8</v>
      </c>
      <c r="I39" t="str">
        <f t="shared" si="1"/>
        <v>No</v>
      </c>
      <c r="J39">
        <f>VLOOKUP(A39,'Product Master'!A38:D80,4,0)</f>
        <v>12</v>
      </c>
    </row>
    <row r="40" spans="1:10" x14ac:dyDescent="0.25">
      <c r="A40" s="2" t="s">
        <v>43</v>
      </c>
      <c r="B40">
        <f>SUMIFS('Stock-In-Out'!D:D,'Stock-In-Out'!B:B,"Opening Stock",'Stock-In-Out'!A:A,A40)</f>
        <v>28</v>
      </c>
      <c r="C40">
        <f>SUMIFS('Stock-In-Out'!D:D,'Stock-In-Out'!B:B,"In",'Stock-In-Out'!A:A,A40)</f>
        <v>0</v>
      </c>
      <c r="D40">
        <f>SUMIFS('Stock-In-Out'!D:D,'Stock-In-Out'!B:B,"Out",'Stock-In-Out'!A:A,A40)</f>
        <v>0</v>
      </c>
      <c r="E40">
        <f t="shared" si="0"/>
        <v>28</v>
      </c>
      <c r="F40">
        <f>VLOOKUP(A40,'Product Master'!A:C,3,0)*E40</f>
        <v>2862.72</v>
      </c>
      <c r="G40">
        <f>VLOOKUP(A40,'Product Master'!A:C,2,0)*E40</f>
        <v>1889.3951999999999</v>
      </c>
      <c r="H40">
        <f>VLOOKUP(A40,'Product Master'!A39:E81,5,0)</f>
        <v>9</v>
      </c>
      <c r="I40" t="str">
        <f t="shared" si="1"/>
        <v>No</v>
      </c>
      <c r="J40">
        <f>VLOOKUP(A40,'Product Master'!A39:D81,4,0)</f>
        <v>3</v>
      </c>
    </row>
    <row r="41" spans="1:10" x14ac:dyDescent="0.25">
      <c r="A41" s="2" t="s">
        <v>44</v>
      </c>
      <c r="B41">
        <f>SUMIFS('Stock-In-Out'!D:D,'Stock-In-Out'!B:B,"Opening Stock",'Stock-In-Out'!A:A,A41)</f>
        <v>39</v>
      </c>
      <c r="C41">
        <f>SUMIFS('Stock-In-Out'!D:D,'Stock-In-Out'!B:B,"In",'Stock-In-Out'!A:A,A41)</f>
        <v>20</v>
      </c>
      <c r="D41">
        <f>SUMIFS('Stock-In-Out'!D:D,'Stock-In-Out'!B:B,"Out",'Stock-In-Out'!A:A,A41)</f>
        <v>0</v>
      </c>
      <c r="E41">
        <f t="shared" si="0"/>
        <v>59</v>
      </c>
      <c r="F41">
        <f>VLOOKUP(A41,'Product Master'!A:C,3,0)*E41</f>
        <v>11717.4</v>
      </c>
      <c r="G41">
        <f>VLOOKUP(A41,'Product Master'!A:C,2,0)*E41</f>
        <v>7147.6140000000005</v>
      </c>
      <c r="H41">
        <f>VLOOKUP(A41,'Product Master'!A40:E82,5,0)</f>
        <v>7</v>
      </c>
      <c r="I41" t="str">
        <f t="shared" si="1"/>
        <v>No</v>
      </c>
      <c r="J41">
        <f>VLOOKUP(A41,'Product Master'!A40:D82,4,0)</f>
        <v>1</v>
      </c>
    </row>
    <row r="42" spans="1:10" x14ac:dyDescent="0.25">
      <c r="A42" s="2" t="s">
        <v>45</v>
      </c>
      <c r="B42">
        <f>SUMIFS('Stock-In-Out'!D:D,'Stock-In-Out'!B:B,"Opening Stock",'Stock-In-Out'!A:A,A42)</f>
        <v>48</v>
      </c>
      <c r="C42">
        <f>SUMIFS('Stock-In-Out'!D:D,'Stock-In-Out'!B:B,"In",'Stock-In-Out'!A:A,A42)</f>
        <v>0</v>
      </c>
      <c r="D42">
        <f>SUMIFS('Stock-In-Out'!D:D,'Stock-In-Out'!B:B,"Out",'Stock-In-Out'!A:A,A42)</f>
        <v>0</v>
      </c>
      <c r="E42">
        <f t="shared" si="0"/>
        <v>48</v>
      </c>
      <c r="F42">
        <f>VLOOKUP(A42,'Product Master'!A:C,3,0)*E42</f>
        <v>16839.84</v>
      </c>
      <c r="G42">
        <f>VLOOKUP(A42,'Product Master'!A:C,2,0)*E42</f>
        <v>8083.1231999999991</v>
      </c>
      <c r="H42">
        <f>VLOOKUP(A42,'Product Master'!A41:E83,5,0)</f>
        <v>4</v>
      </c>
      <c r="I42" t="str">
        <f t="shared" si="1"/>
        <v>No</v>
      </c>
      <c r="J42">
        <f>VLOOKUP(A42,'Product Master'!A41:D83,4,0)</f>
        <v>9</v>
      </c>
    </row>
    <row r="43" spans="1:10" x14ac:dyDescent="0.25">
      <c r="A43" s="2" t="s">
        <v>46</v>
      </c>
      <c r="B43">
        <f>SUMIFS('Stock-In-Out'!D:D,'Stock-In-Out'!B:B,"Opening Stock",'Stock-In-Out'!A:A,A43)</f>
        <v>39</v>
      </c>
      <c r="C43">
        <f>SUMIFS('Stock-In-Out'!D:D,'Stock-In-Out'!B:B,"In",'Stock-In-Out'!A:A,A43)</f>
        <v>0</v>
      </c>
      <c r="D43">
        <f>SUMIFS('Stock-In-Out'!D:D,'Stock-In-Out'!B:B,"Out",'Stock-In-Out'!A:A,A43)</f>
        <v>0</v>
      </c>
      <c r="E43">
        <f t="shared" si="0"/>
        <v>39</v>
      </c>
      <c r="F43">
        <f>VLOOKUP(A43,'Product Master'!A:C,3,0)*E43</f>
        <v>13157.82</v>
      </c>
      <c r="G43">
        <f>VLOOKUP(A43,'Product Master'!A:C,2,0)*E43</f>
        <v>8684.1612000000005</v>
      </c>
      <c r="H43">
        <f>VLOOKUP(A43,'Product Master'!A42:E84,5,0)</f>
        <v>9</v>
      </c>
      <c r="I43" t="str">
        <f>IF(H43&gt;=E43,"Yes","No")</f>
        <v>No</v>
      </c>
      <c r="J43">
        <f>VLOOKUP(A43,'Product Master'!A42:D84,4,0)</f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2"/>
  <sheetViews>
    <sheetView workbookViewId="0">
      <selection activeCell="A2" sqref="A2:A43"/>
    </sheetView>
  </sheetViews>
  <sheetFormatPr defaultRowHeight="15" x14ac:dyDescent="0.25"/>
  <cols>
    <col min="1" max="1" width="31.28515625" bestFit="1" customWidth="1"/>
    <col min="2" max="2" width="12.5703125" bestFit="1" customWidth="1"/>
    <col min="3" max="3" width="13.28515625" bestFit="1" customWidth="1"/>
    <col min="4" max="4" width="15.28515625" bestFit="1" customWidth="1"/>
    <col min="5" max="5" width="14.4257812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2" t="s">
        <v>5</v>
      </c>
      <c r="B2" s="3">
        <v>145.99760000000001</v>
      </c>
      <c r="C2" s="3">
        <v>235.48</v>
      </c>
      <c r="D2" s="2">
        <v>15</v>
      </c>
      <c r="E2" s="2">
        <v>6</v>
      </c>
    </row>
    <row r="3" spans="1:5" x14ac:dyDescent="0.25">
      <c r="A3" s="2" t="s">
        <v>6</v>
      </c>
      <c r="B3" s="3">
        <v>266.74199999999996</v>
      </c>
      <c r="C3" s="3">
        <v>444.57</v>
      </c>
      <c r="D3" s="2">
        <v>3</v>
      </c>
      <c r="E3" s="2">
        <v>6</v>
      </c>
    </row>
    <row r="4" spans="1:5" x14ac:dyDescent="0.25">
      <c r="A4" s="2" t="s">
        <v>7</v>
      </c>
      <c r="B4" s="3">
        <v>290.08979999999997</v>
      </c>
      <c r="C4" s="3">
        <v>439.53</v>
      </c>
      <c r="D4" s="2">
        <v>2</v>
      </c>
      <c r="E4" s="2">
        <v>4</v>
      </c>
    </row>
    <row r="5" spans="1:5" x14ac:dyDescent="0.25">
      <c r="A5" s="2" t="s">
        <v>8</v>
      </c>
      <c r="B5" s="3">
        <v>113.84000000000002</v>
      </c>
      <c r="C5" s="3">
        <v>284.60000000000002</v>
      </c>
      <c r="D5" s="2">
        <v>1</v>
      </c>
      <c r="E5" s="2">
        <v>8</v>
      </c>
    </row>
    <row r="6" spans="1:5" x14ac:dyDescent="0.25">
      <c r="A6" s="2" t="s">
        <v>9</v>
      </c>
      <c r="B6" s="3">
        <v>118.89239999999999</v>
      </c>
      <c r="C6" s="3">
        <v>180.14</v>
      </c>
      <c r="D6" s="2">
        <v>3</v>
      </c>
      <c r="E6" s="2">
        <v>4</v>
      </c>
    </row>
    <row r="7" spans="1:5" x14ac:dyDescent="0.25">
      <c r="A7" s="2" t="s">
        <v>10</v>
      </c>
      <c r="B7" s="3">
        <v>141.72389999999999</v>
      </c>
      <c r="C7" s="3">
        <v>240.21</v>
      </c>
      <c r="D7" s="2">
        <v>6</v>
      </c>
      <c r="E7" s="2">
        <v>6</v>
      </c>
    </row>
    <row r="8" spans="1:5" x14ac:dyDescent="0.25">
      <c r="A8" s="2" t="s">
        <v>11</v>
      </c>
      <c r="B8" s="3">
        <v>51.183999999999997</v>
      </c>
      <c r="C8" s="3">
        <v>127.96</v>
      </c>
      <c r="D8" s="2">
        <v>15</v>
      </c>
      <c r="E8" s="2">
        <v>8</v>
      </c>
    </row>
    <row r="9" spans="1:5" x14ac:dyDescent="0.25">
      <c r="A9" s="2" t="s">
        <v>12</v>
      </c>
      <c r="B9" s="3">
        <v>197.01500000000001</v>
      </c>
      <c r="C9" s="3">
        <v>303.10000000000002</v>
      </c>
      <c r="D9" s="2">
        <v>4</v>
      </c>
      <c r="E9" s="2">
        <v>9</v>
      </c>
    </row>
    <row r="10" spans="1:5" x14ac:dyDescent="0.25">
      <c r="A10" s="2" t="s">
        <v>13</v>
      </c>
      <c r="B10" s="3">
        <v>88.815999999999988</v>
      </c>
      <c r="C10" s="3">
        <v>136.63999999999999</v>
      </c>
      <c r="D10" s="2">
        <v>5</v>
      </c>
      <c r="E10" s="2">
        <v>8</v>
      </c>
    </row>
    <row r="11" spans="1:5" x14ac:dyDescent="0.25">
      <c r="A11" s="2" t="s">
        <v>14</v>
      </c>
      <c r="B11" s="3">
        <v>70.849199999999996</v>
      </c>
      <c r="C11" s="3">
        <v>138.91999999999999</v>
      </c>
      <c r="D11" s="2">
        <v>14</v>
      </c>
      <c r="E11" s="2">
        <v>5</v>
      </c>
    </row>
    <row r="12" spans="1:5" x14ac:dyDescent="0.25">
      <c r="A12" s="2" t="s">
        <v>15</v>
      </c>
      <c r="B12" s="3">
        <v>140.79570000000001</v>
      </c>
      <c r="C12" s="3">
        <v>276.07</v>
      </c>
      <c r="D12" s="2">
        <v>11</v>
      </c>
      <c r="E12" s="2">
        <v>6</v>
      </c>
    </row>
    <row r="13" spans="1:5" x14ac:dyDescent="0.25">
      <c r="A13" s="2" t="s">
        <v>16</v>
      </c>
      <c r="B13" s="3">
        <v>257.8048</v>
      </c>
      <c r="C13" s="3">
        <v>402.82</v>
      </c>
      <c r="D13" s="2">
        <v>5</v>
      </c>
      <c r="E13" s="2">
        <v>4</v>
      </c>
    </row>
    <row r="14" spans="1:5" x14ac:dyDescent="0.25">
      <c r="A14" s="2" t="s">
        <v>17</v>
      </c>
      <c r="B14" s="3">
        <v>91.304000000000002</v>
      </c>
      <c r="C14" s="3">
        <v>228.26</v>
      </c>
      <c r="D14" s="2">
        <v>5</v>
      </c>
      <c r="E14" s="2">
        <v>5</v>
      </c>
    </row>
    <row r="15" spans="1:5" x14ac:dyDescent="0.25">
      <c r="A15" s="2" t="s">
        <v>18</v>
      </c>
      <c r="B15" s="3">
        <v>79.757999999999996</v>
      </c>
      <c r="C15" s="3">
        <v>113.94</v>
      </c>
      <c r="D15" s="2">
        <v>12</v>
      </c>
      <c r="E15" s="2">
        <v>6</v>
      </c>
    </row>
    <row r="16" spans="1:5" x14ac:dyDescent="0.25">
      <c r="A16" s="2" t="s">
        <v>19</v>
      </c>
      <c r="B16" s="3">
        <v>69.281599999999997</v>
      </c>
      <c r="C16" s="3">
        <v>130.72</v>
      </c>
      <c r="D16" s="2">
        <v>6</v>
      </c>
      <c r="E16" s="2">
        <v>9</v>
      </c>
    </row>
    <row r="17" spans="1:5" x14ac:dyDescent="0.25">
      <c r="A17" s="2" t="s">
        <v>20</v>
      </c>
      <c r="B17" s="3">
        <v>181.62300000000002</v>
      </c>
      <c r="C17" s="3">
        <v>279.42</v>
      </c>
      <c r="D17" s="2">
        <v>14</v>
      </c>
      <c r="E17" s="2">
        <v>7</v>
      </c>
    </row>
    <row r="18" spans="1:5" x14ac:dyDescent="0.25">
      <c r="A18" s="2" t="s">
        <v>21</v>
      </c>
      <c r="B18" s="3">
        <v>180.72180000000003</v>
      </c>
      <c r="C18" s="3">
        <v>334.67</v>
      </c>
      <c r="D18" s="2">
        <v>9</v>
      </c>
      <c r="E18" s="2">
        <v>5</v>
      </c>
    </row>
    <row r="19" spans="1:5" x14ac:dyDescent="0.25">
      <c r="A19" s="2" t="s">
        <v>22</v>
      </c>
      <c r="B19" s="3">
        <v>233.66140000000001</v>
      </c>
      <c r="C19" s="3">
        <v>476.86</v>
      </c>
      <c r="D19" s="2">
        <v>5</v>
      </c>
      <c r="E19" s="2">
        <v>8</v>
      </c>
    </row>
    <row r="20" spans="1:5" x14ac:dyDescent="0.25">
      <c r="A20" s="2" t="s">
        <v>23</v>
      </c>
      <c r="B20" s="3">
        <v>260.96289999999999</v>
      </c>
      <c r="C20" s="3">
        <v>442.31</v>
      </c>
      <c r="D20" s="2">
        <v>9</v>
      </c>
      <c r="E20" s="2">
        <v>8</v>
      </c>
    </row>
    <row r="21" spans="1:5" x14ac:dyDescent="0.25">
      <c r="A21" s="2" t="s">
        <v>24</v>
      </c>
      <c r="B21" s="3">
        <v>84.268800000000013</v>
      </c>
      <c r="C21" s="3">
        <v>127.68</v>
      </c>
      <c r="D21" s="2">
        <v>7</v>
      </c>
      <c r="E21" s="2">
        <v>4</v>
      </c>
    </row>
    <row r="22" spans="1:5" x14ac:dyDescent="0.25">
      <c r="A22" s="2" t="s">
        <v>25</v>
      </c>
      <c r="B22" s="3">
        <v>137.72099999999998</v>
      </c>
      <c r="C22" s="3">
        <v>237.45</v>
      </c>
      <c r="D22" s="2">
        <v>8</v>
      </c>
      <c r="E22" s="2">
        <v>9</v>
      </c>
    </row>
    <row r="23" spans="1:5" x14ac:dyDescent="0.25">
      <c r="A23" s="2" t="s">
        <v>26</v>
      </c>
      <c r="B23" s="3">
        <v>235.8801</v>
      </c>
      <c r="C23" s="3">
        <v>462.51</v>
      </c>
      <c r="D23" s="2">
        <v>4</v>
      </c>
      <c r="E23" s="2">
        <v>9</v>
      </c>
    </row>
    <row r="24" spans="1:5" x14ac:dyDescent="0.25">
      <c r="A24" s="2" t="s">
        <v>27</v>
      </c>
      <c r="B24" s="3">
        <v>307.72720000000004</v>
      </c>
      <c r="C24" s="3">
        <v>452.54</v>
      </c>
      <c r="D24" s="2">
        <v>11</v>
      </c>
      <c r="E24" s="2">
        <v>9</v>
      </c>
    </row>
    <row r="25" spans="1:5" x14ac:dyDescent="0.25">
      <c r="A25" s="2" t="s">
        <v>28</v>
      </c>
      <c r="B25" s="3">
        <v>264.41159999999996</v>
      </c>
      <c r="C25" s="3">
        <v>463.88</v>
      </c>
      <c r="D25" s="2">
        <v>11</v>
      </c>
      <c r="E25" s="2">
        <v>9</v>
      </c>
    </row>
    <row r="26" spans="1:5" x14ac:dyDescent="0.25">
      <c r="A26" s="2" t="s">
        <v>29</v>
      </c>
      <c r="B26" s="3">
        <v>95.241599999999991</v>
      </c>
      <c r="C26" s="3">
        <v>198.42</v>
      </c>
      <c r="D26" s="2">
        <v>13</v>
      </c>
      <c r="E26" s="2">
        <v>8</v>
      </c>
    </row>
    <row r="27" spans="1:5" x14ac:dyDescent="0.25">
      <c r="A27" s="2" t="s">
        <v>30</v>
      </c>
      <c r="B27" s="3">
        <v>172.85759999999999</v>
      </c>
      <c r="C27" s="3">
        <v>270.08999999999997</v>
      </c>
      <c r="D27" s="2">
        <v>12</v>
      </c>
      <c r="E27" s="2">
        <v>4</v>
      </c>
    </row>
    <row r="28" spans="1:5" x14ac:dyDescent="0.25">
      <c r="A28" s="2" t="s">
        <v>31</v>
      </c>
      <c r="B28" s="3">
        <v>72.644999999999996</v>
      </c>
      <c r="C28" s="3">
        <v>145.29</v>
      </c>
      <c r="D28" s="2">
        <v>6</v>
      </c>
      <c r="E28" s="2">
        <v>7</v>
      </c>
    </row>
    <row r="29" spans="1:5" x14ac:dyDescent="0.25">
      <c r="A29" s="2" t="s">
        <v>32</v>
      </c>
      <c r="B29" s="3">
        <v>221.99940000000001</v>
      </c>
      <c r="C29" s="3">
        <v>411.11</v>
      </c>
      <c r="D29" s="2">
        <v>5</v>
      </c>
      <c r="E29" s="2">
        <v>6</v>
      </c>
    </row>
    <row r="30" spans="1:5" x14ac:dyDescent="0.25">
      <c r="A30" s="2" t="s">
        <v>33</v>
      </c>
      <c r="B30" s="3">
        <v>215.89200000000002</v>
      </c>
      <c r="C30" s="3">
        <v>399.8</v>
      </c>
      <c r="D30" s="2">
        <v>13</v>
      </c>
      <c r="E30" s="2">
        <v>7</v>
      </c>
    </row>
    <row r="31" spans="1:5" x14ac:dyDescent="0.25">
      <c r="A31" s="2" t="s">
        <v>34</v>
      </c>
      <c r="B31" s="3">
        <v>134.82900000000001</v>
      </c>
      <c r="C31" s="3">
        <v>299.62</v>
      </c>
      <c r="D31" s="2">
        <v>8</v>
      </c>
      <c r="E31" s="2">
        <v>6</v>
      </c>
    </row>
    <row r="32" spans="1:5" x14ac:dyDescent="0.25">
      <c r="A32" s="2" t="s">
        <v>35</v>
      </c>
      <c r="B32" s="3">
        <v>187.80960000000002</v>
      </c>
      <c r="C32" s="3">
        <v>284.56</v>
      </c>
      <c r="D32" s="2">
        <v>4</v>
      </c>
      <c r="E32" s="2">
        <v>4</v>
      </c>
    </row>
    <row r="33" spans="1:5" x14ac:dyDescent="0.25">
      <c r="A33" s="2" t="s">
        <v>36</v>
      </c>
      <c r="B33" s="3">
        <v>110.3616</v>
      </c>
      <c r="C33" s="3">
        <v>229.92</v>
      </c>
      <c r="D33" s="2">
        <v>9</v>
      </c>
      <c r="E33" s="2">
        <v>7</v>
      </c>
    </row>
    <row r="34" spans="1:5" x14ac:dyDescent="0.25">
      <c r="A34" s="2" t="s">
        <v>37</v>
      </c>
      <c r="B34" s="3">
        <v>186.27359999999999</v>
      </c>
      <c r="C34" s="3">
        <v>388.07</v>
      </c>
      <c r="D34" s="2">
        <v>4</v>
      </c>
      <c r="E34" s="2">
        <v>7</v>
      </c>
    </row>
    <row r="35" spans="1:5" x14ac:dyDescent="0.25">
      <c r="A35" s="2" t="s">
        <v>38</v>
      </c>
      <c r="B35" s="3">
        <v>66.965500000000006</v>
      </c>
      <c r="C35" s="3">
        <v>126.35</v>
      </c>
      <c r="D35" s="2">
        <v>15</v>
      </c>
      <c r="E35" s="2">
        <v>7</v>
      </c>
    </row>
    <row r="36" spans="1:5" x14ac:dyDescent="0.25">
      <c r="A36" s="2" t="s">
        <v>39</v>
      </c>
      <c r="B36" s="3">
        <v>98.027899999999988</v>
      </c>
      <c r="C36" s="3">
        <v>208.57</v>
      </c>
      <c r="D36" s="2">
        <v>4</v>
      </c>
      <c r="E36" s="2">
        <v>6</v>
      </c>
    </row>
    <row r="37" spans="1:5" x14ac:dyDescent="0.25">
      <c r="A37" s="2" t="s">
        <v>40</v>
      </c>
      <c r="B37" s="3">
        <v>320.64720000000005</v>
      </c>
      <c r="C37" s="3">
        <v>471.54</v>
      </c>
      <c r="D37" s="2">
        <v>3</v>
      </c>
      <c r="E37" s="2">
        <v>6</v>
      </c>
    </row>
    <row r="38" spans="1:5" x14ac:dyDescent="0.25">
      <c r="A38" s="2" t="s">
        <v>41</v>
      </c>
      <c r="B38" s="3">
        <v>184.19499999999999</v>
      </c>
      <c r="C38" s="3">
        <v>334.9</v>
      </c>
      <c r="D38" s="2">
        <v>10</v>
      </c>
      <c r="E38" s="2">
        <v>7</v>
      </c>
    </row>
    <row r="39" spans="1:5" x14ac:dyDescent="0.25">
      <c r="A39" s="2" t="s">
        <v>42</v>
      </c>
      <c r="B39" s="3">
        <v>99.313500000000005</v>
      </c>
      <c r="C39" s="3">
        <v>180.57</v>
      </c>
      <c r="D39" s="2">
        <v>12</v>
      </c>
      <c r="E39" s="2">
        <v>8</v>
      </c>
    </row>
    <row r="40" spans="1:5" x14ac:dyDescent="0.25">
      <c r="A40" s="2" t="s">
        <v>43</v>
      </c>
      <c r="B40" s="3">
        <v>67.478399999999993</v>
      </c>
      <c r="C40" s="3">
        <v>102.24</v>
      </c>
      <c r="D40" s="2">
        <v>3</v>
      </c>
      <c r="E40" s="2">
        <v>9</v>
      </c>
    </row>
    <row r="41" spans="1:5" x14ac:dyDescent="0.25">
      <c r="A41" s="2" t="s">
        <v>44</v>
      </c>
      <c r="B41" s="3">
        <v>121.146</v>
      </c>
      <c r="C41" s="3">
        <v>198.6</v>
      </c>
      <c r="D41" s="2">
        <v>1</v>
      </c>
      <c r="E41" s="2">
        <v>7</v>
      </c>
    </row>
    <row r="42" spans="1:5" x14ac:dyDescent="0.25">
      <c r="A42" s="2" t="s">
        <v>45</v>
      </c>
      <c r="B42" s="3">
        <v>168.39839999999998</v>
      </c>
      <c r="C42" s="3">
        <v>350.83</v>
      </c>
      <c r="D42" s="2">
        <v>9</v>
      </c>
      <c r="E42" s="2">
        <v>4</v>
      </c>
    </row>
    <row r="43" spans="1:5" x14ac:dyDescent="0.25">
      <c r="A43" s="2" t="s">
        <v>46</v>
      </c>
      <c r="B43" s="3">
        <v>222.67080000000001</v>
      </c>
      <c r="C43" s="3">
        <v>337.38</v>
      </c>
      <c r="D43" s="2">
        <v>6</v>
      </c>
      <c r="E43" s="2">
        <v>9</v>
      </c>
    </row>
    <row r="44" spans="1:5" x14ac:dyDescent="0.25">
      <c r="A44" s="2"/>
      <c r="B44" s="3"/>
      <c r="C44" s="3"/>
      <c r="D44" s="2"/>
      <c r="E44" s="2"/>
    </row>
    <row r="45" spans="1:5" x14ac:dyDescent="0.25">
      <c r="A45" s="2"/>
      <c r="B45" s="3"/>
      <c r="C45" s="3"/>
      <c r="D45" s="2"/>
      <c r="E45" s="2"/>
    </row>
    <row r="46" spans="1:5" x14ac:dyDescent="0.25">
      <c r="A46" s="2"/>
      <c r="B46" s="3"/>
      <c r="C46" s="3"/>
      <c r="D46" s="2"/>
      <c r="E46" s="2"/>
    </row>
    <row r="47" spans="1:5" x14ac:dyDescent="0.25">
      <c r="A47" s="2"/>
      <c r="B47" s="3"/>
      <c r="C47" s="3"/>
      <c r="D47" s="2"/>
      <c r="E47" s="2"/>
    </row>
    <row r="48" spans="1:5" x14ac:dyDescent="0.25">
      <c r="A48" s="2"/>
      <c r="B48" s="3"/>
      <c r="C48" s="3"/>
      <c r="D48" s="2"/>
      <c r="E48" s="2"/>
    </row>
    <row r="49" spans="1:5" x14ac:dyDescent="0.25">
      <c r="A49" s="2"/>
      <c r="B49" s="3"/>
      <c r="C49" s="3"/>
      <c r="D49" s="2"/>
      <c r="E49" s="2"/>
    </row>
    <row r="50" spans="1:5" x14ac:dyDescent="0.25">
      <c r="A50" s="2"/>
      <c r="B50" s="3"/>
      <c r="C50" s="3"/>
      <c r="D50" s="2"/>
      <c r="E50" s="2"/>
    </row>
    <row r="51" spans="1:5" x14ac:dyDescent="0.25">
      <c r="A51" s="2"/>
      <c r="B51" s="3"/>
      <c r="C51" s="3"/>
      <c r="D51" s="2"/>
      <c r="E51" s="2"/>
    </row>
    <row r="52" spans="1:5" x14ac:dyDescent="0.25">
      <c r="A52" s="2"/>
      <c r="B52" s="3"/>
      <c r="C52" s="3"/>
      <c r="D52" s="2"/>
      <c r="E52" s="2"/>
    </row>
    <row r="53" spans="1:5" x14ac:dyDescent="0.25">
      <c r="A53" s="2"/>
      <c r="B53" s="3"/>
      <c r="C53" s="3"/>
      <c r="D53" s="2"/>
      <c r="E53" s="2"/>
    </row>
    <row r="54" spans="1:5" x14ac:dyDescent="0.25">
      <c r="A54" s="2"/>
      <c r="B54" s="3"/>
      <c r="C54" s="3"/>
      <c r="D54" s="2"/>
      <c r="E54" s="2"/>
    </row>
    <row r="55" spans="1:5" x14ac:dyDescent="0.25">
      <c r="A55" s="2"/>
      <c r="B55" s="3"/>
      <c r="C55" s="3"/>
      <c r="D55" s="2"/>
      <c r="E55" s="2"/>
    </row>
    <row r="56" spans="1:5" x14ac:dyDescent="0.25">
      <c r="A56" s="2"/>
      <c r="B56" s="3"/>
      <c r="C56" s="3"/>
      <c r="D56" s="2"/>
      <c r="E56" s="2"/>
    </row>
    <row r="57" spans="1:5" x14ac:dyDescent="0.25">
      <c r="A57" s="2"/>
      <c r="B57" s="3"/>
      <c r="C57" s="3"/>
      <c r="D57" s="2"/>
      <c r="E57" s="2"/>
    </row>
    <row r="58" spans="1:5" x14ac:dyDescent="0.25">
      <c r="A58" s="2"/>
      <c r="B58" s="3"/>
      <c r="C58" s="3"/>
      <c r="D58" s="2"/>
      <c r="E58" s="2"/>
    </row>
    <row r="59" spans="1:5" x14ac:dyDescent="0.25">
      <c r="A59" s="2"/>
      <c r="B59" s="3"/>
      <c r="C59" s="3"/>
      <c r="D59" s="2"/>
      <c r="E59" s="2"/>
    </row>
    <row r="60" spans="1:5" x14ac:dyDescent="0.25">
      <c r="A60" s="2"/>
      <c r="B60" s="3"/>
      <c r="C60" s="3"/>
      <c r="D60" s="2"/>
      <c r="E60" s="2"/>
    </row>
    <row r="61" spans="1:5" x14ac:dyDescent="0.25">
      <c r="A61" s="2"/>
      <c r="B61" s="3"/>
      <c r="C61" s="3"/>
      <c r="D61" s="2"/>
      <c r="E61" s="2"/>
    </row>
    <row r="62" spans="1:5" x14ac:dyDescent="0.25">
      <c r="A62" s="2"/>
      <c r="B62" s="3"/>
      <c r="C62" s="3"/>
      <c r="D62" s="2"/>
      <c r="E62" s="2"/>
    </row>
    <row r="63" spans="1:5" x14ac:dyDescent="0.25">
      <c r="A63" s="2"/>
      <c r="B63" s="3"/>
      <c r="C63" s="3"/>
      <c r="D63" s="2"/>
      <c r="E63" s="2"/>
    </row>
    <row r="64" spans="1:5" x14ac:dyDescent="0.25">
      <c r="A64" s="2"/>
      <c r="B64" s="3"/>
      <c r="C64" s="3"/>
      <c r="D64" s="2"/>
      <c r="E64" s="2"/>
    </row>
    <row r="65" spans="1:5" x14ac:dyDescent="0.25">
      <c r="A65" s="2"/>
      <c r="B65" s="3"/>
      <c r="C65" s="3"/>
      <c r="D65" s="2"/>
      <c r="E65" s="2"/>
    </row>
    <row r="66" spans="1:5" x14ac:dyDescent="0.25">
      <c r="A66" s="2"/>
      <c r="B66" s="3"/>
      <c r="C66" s="3"/>
      <c r="D66" s="2"/>
      <c r="E66" s="2"/>
    </row>
    <row r="67" spans="1:5" x14ac:dyDescent="0.25">
      <c r="A67" s="2"/>
      <c r="B67" s="3"/>
      <c r="C67" s="3"/>
      <c r="D67" s="2"/>
      <c r="E67" s="2"/>
    </row>
    <row r="68" spans="1:5" x14ac:dyDescent="0.25">
      <c r="A68" s="2"/>
      <c r="B68" s="3"/>
      <c r="C68" s="3"/>
      <c r="D68" s="2"/>
      <c r="E68" s="2"/>
    </row>
    <row r="69" spans="1:5" x14ac:dyDescent="0.25">
      <c r="A69" s="2"/>
      <c r="B69" s="3"/>
      <c r="C69" s="3"/>
      <c r="D69" s="2"/>
      <c r="E69" s="2"/>
    </row>
    <row r="70" spans="1:5" x14ac:dyDescent="0.25">
      <c r="A70" s="2"/>
      <c r="B70" s="3"/>
      <c r="C70" s="3"/>
      <c r="D70" s="2"/>
      <c r="E70" s="2"/>
    </row>
    <row r="71" spans="1:5" x14ac:dyDescent="0.25">
      <c r="A71" s="2"/>
      <c r="B71" s="3"/>
      <c r="C71" s="3"/>
      <c r="D71" s="2"/>
      <c r="E71" s="2"/>
    </row>
    <row r="72" spans="1:5" x14ac:dyDescent="0.25">
      <c r="A72" s="2"/>
      <c r="B72" s="3"/>
      <c r="C72" s="3"/>
      <c r="D72" s="2"/>
      <c r="E72" s="2"/>
    </row>
    <row r="73" spans="1:5" x14ac:dyDescent="0.25">
      <c r="A73" s="2"/>
      <c r="B73" s="3"/>
      <c r="C73" s="3"/>
      <c r="D73" s="2"/>
      <c r="E73" s="2"/>
    </row>
    <row r="74" spans="1:5" x14ac:dyDescent="0.25">
      <c r="A74" s="2"/>
      <c r="B74" s="3"/>
      <c r="C74" s="3"/>
      <c r="D74" s="2"/>
      <c r="E74" s="2"/>
    </row>
    <row r="75" spans="1:5" x14ac:dyDescent="0.25">
      <c r="A75" s="2"/>
      <c r="B75" s="3"/>
      <c r="C75" s="3"/>
      <c r="D75" s="2"/>
      <c r="E75" s="2"/>
    </row>
    <row r="76" spans="1:5" x14ac:dyDescent="0.25">
      <c r="A76" s="2"/>
      <c r="B76" s="3"/>
      <c r="C76" s="3"/>
      <c r="D76" s="2"/>
      <c r="E76" s="2"/>
    </row>
    <row r="77" spans="1:5" x14ac:dyDescent="0.25">
      <c r="A77" s="2"/>
      <c r="B77" s="3"/>
      <c r="C77" s="3"/>
      <c r="D77" s="2"/>
      <c r="E77" s="2"/>
    </row>
    <row r="78" spans="1:5" x14ac:dyDescent="0.25">
      <c r="A78" s="2"/>
      <c r="B78" s="3"/>
      <c r="C78" s="3"/>
      <c r="D78" s="2"/>
      <c r="E78" s="2"/>
    </row>
    <row r="79" spans="1:5" x14ac:dyDescent="0.25">
      <c r="A79" s="2"/>
      <c r="B79" s="3"/>
      <c r="C79" s="3"/>
      <c r="D79" s="2"/>
      <c r="E79" s="2"/>
    </row>
    <row r="80" spans="1:5" x14ac:dyDescent="0.25">
      <c r="A80" s="2"/>
      <c r="B80" s="3"/>
      <c r="C80" s="3"/>
      <c r="D80" s="2"/>
      <c r="E80" s="2"/>
    </row>
    <row r="81" spans="1:5" x14ac:dyDescent="0.25">
      <c r="A81" s="2"/>
      <c r="B81" s="3"/>
      <c r="C81" s="3"/>
      <c r="D81" s="2"/>
      <c r="E81" s="2"/>
    </row>
    <row r="82" spans="1:5" x14ac:dyDescent="0.25">
      <c r="A82" s="2"/>
      <c r="B82" s="3"/>
      <c r="C82" s="3"/>
      <c r="D82" s="2"/>
      <c r="E82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"/>
  <sheetViews>
    <sheetView workbookViewId="0">
      <selection activeCell="B4" sqref="B4"/>
    </sheetView>
  </sheetViews>
  <sheetFormatPr defaultRowHeight="15" x14ac:dyDescent="0.25"/>
  <cols>
    <col min="1" max="1" width="15.28515625" customWidth="1"/>
    <col min="2" max="2" width="13.7109375" bestFit="1" customWidth="1"/>
  </cols>
  <sheetData>
    <row r="1" spans="1:2" x14ac:dyDescent="0.25">
      <c r="A1" s="9" t="s">
        <v>61</v>
      </c>
      <c r="B1">
        <f>SUM(Inventory!E:E)</f>
        <v>1517</v>
      </c>
    </row>
    <row r="2" spans="1:2" x14ac:dyDescent="0.25">
      <c r="A2" s="9" t="s">
        <v>57</v>
      </c>
      <c r="B2" s="10">
        <f>SUM(Inventory!F:F)</f>
        <v>430199.50000000006</v>
      </c>
    </row>
    <row r="3" spans="1:2" x14ac:dyDescent="0.25">
      <c r="A3" s="9" t="s">
        <v>58</v>
      </c>
      <c r="B3" s="10">
        <f>SUM(Inventory!G:G)</f>
        <v>244301.84619999994</v>
      </c>
    </row>
    <row r="4" spans="1:2" x14ac:dyDescent="0.25">
      <c r="A4" s="9" t="s">
        <v>62</v>
      </c>
      <c r="B4">
        <f>COUNTIF(Inventory!I:I,"Yes")</f>
        <v>1</v>
      </c>
    </row>
    <row r="5" spans="1:2" x14ac:dyDescent="0.25">
      <c r="A5" s="9" t="s">
        <v>63</v>
      </c>
      <c r="B5">
        <f>COUNTIF(Inventory!E:E,"0")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Report</vt:lpstr>
      <vt:lpstr>Stock-In-Out</vt:lpstr>
      <vt:lpstr>Inventory</vt:lpstr>
      <vt:lpstr>Product Master</vt:lpstr>
      <vt:lpstr>Support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2023-07-27T19:56:12Z</dcterms:created>
  <dcterms:modified xsi:type="dcterms:W3CDTF">2023-07-28T00:39:03Z</dcterms:modified>
</cp:coreProperties>
</file>